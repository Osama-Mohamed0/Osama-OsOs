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Ventilation" sheetId="2" state="visible" r:id="rId4"/>
    <sheet name="Dewatering" sheetId="3" state="visible" r:id="rId5"/>
    <sheet name="Blasting_Dev" sheetId="4" state="visible" r:id="rId6"/>
    <sheet name="Blasting_Stope" sheetId="5" state="visible" r:id="rId7"/>
    <sheet name="Development" sheetId="6" state="visible" r:id="rId8"/>
    <sheet name="Stopes" sheetId="7" state="visible" r:id="rId9"/>
    <sheet name="Produc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Typical regulatory value 0.05–0.06 m³/s per kW; use your jurisdiction’s value.</t>
        </r>
      </text>
    </comment>
    <comment ref="B15" authorId="0">
      <text>
        <r>
          <rPr>
            <sz val="10"/>
            <rFont val="Arial"/>
            <family val="2"/>
          </rPr>
          <t xml:space="preserve">Common minimum allowance per person.</t>
        </r>
      </text>
    </comment>
    <comment ref="H21" authorId="0">
      <text>
        <r>
          <rPr>
            <sz val="10"/>
            <rFont val="Arial"/>
            <family val="2"/>
          </rPr>
          <t xml:space="preserve">Friction factor: ~0.012 for unlined drill-and-blast drives, ~0.004 for raisebored shafts.</t>
        </r>
      </text>
    </comment>
    <comment ref="H22" authorId="0">
      <text>
        <r>
          <rPr>
            <sz val="10"/>
            <rFont val="Arial"/>
            <family val="2"/>
          </rPr>
          <t xml:space="preserve">Friction factor: ~0.012 for unlined drill-and-blast drives, ~0.004 for raisebored shafts.</t>
        </r>
      </text>
    </comment>
    <comment ref="H23" authorId="0">
      <text>
        <r>
          <rPr>
            <sz val="10"/>
            <rFont val="Arial"/>
            <family val="2"/>
          </rPr>
          <t xml:space="preserve">Friction factor: ~0.012 for unlined drill-and-blast drives, ~0.004 for raisebored shafts.</t>
        </r>
      </text>
    </comment>
    <comment ref="H24" authorId="0">
      <text>
        <r>
          <rPr>
            <sz val="10"/>
            <rFont val="Arial"/>
            <family val="2"/>
          </rPr>
          <t xml:space="preserve">Friction factor: ~0.012 for unlined drill-and-blast drives, ~0.004 for raisebored shafts.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Estimate — replace with hydrogeological study / measured inflows.</t>
        </r>
      </text>
    </comment>
    <comment ref="B6" authorId="0">
      <text>
        <r>
          <rPr>
            <sz val="10"/>
            <rFont val="Arial"/>
            <family val="2"/>
          </rPr>
          <t xml:space="preserve">Allows for storm events and inflow growth.</t>
        </r>
      </text>
    </comment>
    <comment ref="B7" authorId="0">
      <text>
        <r>
          <rPr>
            <sz val="10"/>
            <rFont val="Arial"/>
            <family val="2"/>
          </rPr>
          <t xml:space="preserve">From TerraMind layout: Main_Pump_Station string.</t>
        </r>
      </text>
    </comment>
    <comment ref="B8" authorId="0">
      <text>
        <r>
          <rPr>
            <sz val="10"/>
            <rFont val="Arial"/>
            <family val="2"/>
          </rPr>
          <t xml:space="preserve">From TerraMind layout: decline portal.</t>
        </r>
      </text>
    </comment>
    <comment ref="B9" authorId="0">
      <text>
        <r>
          <rPr>
            <sz val="10"/>
            <rFont val="Arial"/>
            <family val="2"/>
          </rPr>
          <t xml:space="preserve">Follows the decline (Rising_Main_DN200 string).</t>
        </r>
      </text>
    </comment>
    <comment ref="B10" authorId="0">
      <text>
        <r>
          <rPr>
            <sz val="10"/>
            <rFont val="Arial"/>
            <family val="2"/>
          </rPr>
          <t xml:space="preserve">DN200 HDPE/steel.</t>
        </r>
      </text>
    </comment>
    <comment ref="B11" authorId="0">
      <text>
        <r>
          <rPr>
            <sz val="10"/>
            <rFont val="Arial"/>
            <family val="2"/>
          </rPr>
          <t xml:space="preserve">HDPE ~140, lined steel ~120.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Typical 85–95% with a good burn cut.</t>
        </r>
      </text>
    </comment>
    <comment ref="B8" authorId="0">
      <text>
        <r>
          <rPr>
            <sz val="10"/>
            <rFont val="Arial"/>
            <family val="2"/>
          </rPr>
          <t xml:space="preserve">Counted from the TerraMind face pattern.</t>
        </r>
      </text>
    </comment>
    <comment ref="B14" authorId="0">
      <text>
        <r>
          <rPr>
            <sz val="10"/>
            <rFont val="Arial"/>
            <family val="2"/>
          </rPr>
          <t xml:space="preserve">Assumed delivered cost.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5" authorId="0">
      <text>
        <r>
          <rPr>
            <sz val="10"/>
            <rFont val="Arial"/>
            <family val="2"/>
          </rPr>
          <t xml:space="preserve">Leave the collar uncharged to protect the drill drive brow.</t>
        </r>
      </text>
    </comment>
    <comment ref="I8" authorId="0">
      <text>
        <r>
          <rPr>
            <sz val="10"/>
            <rFont val="Arial"/>
            <family val="2"/>
          </rPr>
          <t xml:space="preserve">Average true width incl. 0.5 m dilution each wall.</t>
        </r>
      </text>
    </comment>
    <comment ref="I9" authorId="0">
      <text>
        <r>
          <rPr>
            <sz val="10"/>
            <rFont val="Arial"/>
            <family val="2"/>
          </rPr>
          <t xml:space="preserve">Sublevel interval minus drill drive.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0" authorId="0">
      <text>
        <r>
          <rPr>
            <sz val="10"/>
            <rFont val="Arial"/>
            <family val="2"/>
          </rPr>
          <t xml:space="preserve">Typical single-boom jumbo with good cycle; multiple headings available.</t>
        </r>
      </text>
    </comment>
    <comment ref="F12" authorId="0">
      <text>
        <r>
          <rPr>
            <sz val="10"/>
            <rFont val="Arial"/>
            <family val="2"/>
          </rPr>
          <t xml:space="preserve">Assumed all-in cost for 5 m x 5 m headings.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Unplanned overbreak beyond the stope design.</t>
        </r>
      </text>
    </comment>
  </commentList>
</comments>
</file>

<file path=xl/sharedStrings.xml><?xml version="1.0" encoding="utf-8"?>
<sst xmlns="http://schemas.openxmlformats.org/spreadsheetml/2006/main" count="302" uniqueCount="292">
  <si>
    <t xml:space="preserve">Jabal Nuhas Underground — engineering calculations (showcase, synthetic data)</t>
  </si>
  <si>
    <t xml:space="preserve">Yellow cells with blue text are inputs: change them and every result recalculates.</t>
  </si>
  <si>
    <t xml:space="preserve">Black cells are formulas. Green cells pull values from another sheet.</t>
  </si>
  <si>
    <t xml:space="preserve">Typical design values are used where no site data exists (each has a note). Replace them with site measurements before using results for design.</t>
  </si>
  <si>
    <t xml:space="preserve">Sheets:</t>
  </si>
  <si>
    <t xml:space="preserve">  Ventilation — airflow demand (diesel fleet + people), airway resistances (Atkinson), circuit pressure, primary fan duty.</t>
  </si>
  <si>
    <t xml:space="preserve">  Dewatering — inflows, pump capacity, static + friction head (Hazen-Williams), pump power, sump size.</t>
  </si>
  <si>
    <t xml:space="preserve">  Blasting_Dev — development round (jumbo face): pull, explosive per round, powder factor.</t>
  </si>
  <si>
    <t xml:space="preserve">  Blasting_Stope — longhole ring design from the TerraMind ring file: charge per ring, tonnes per ring, powder factor.</t>
  </si>
  <si>
    <t xml:space="preserve">  Development — level and decline metres from the TerraMind layout; development time.</t>
  </si>
  <si>
    <t xml:space="preserve">  Stopes — stope list exported from TerraMind (design tonnes); totals by level and mine life.</t>
  </si>
  <si>
    <t xml:space="preserve">Model: 15 levels (RL 850 to 500), decline 3147 m, 89 stopes, 42 drillholes.</t>
  </si>
  <si>
    <t xml:space="preserve">Ventilation — airflow demand and primary fan duty</t>
  </si>
  <si>
    <t xml:space="preserve">Diesel fleet</t>
  </si>
  <si>
    <t xml:space="preserve">Equipment</t>
  </si>
  <si>
    <t xml:space="preserve">Quantity</t>
  </si>
  <si>
    <t xml:space="preserve">kW each</t>
  </si>
  <si>
    <t xml:space="preserve">Utilisation</t>
  </si>
  <si>
    <t xml:space="preserve">Effective kW</t>
  </si>
  <si>
    <t xml:space="preserve">LHD 14 t loader</t>
  </si>
  <si>
    <t xml:space="preserve">Haul truck 50 t</t>
  </si>
  <si>
    <t xml:space="preserve">Development jumbo</t>
  </si>
  <si>
    <t xml:space="preserve">Longhole drill</t>
  </si>
  <si>
    <t xml:space="preserve">Charge-up / service vehicles</t>
  </si>
  <si>
    <t xml:space="preserve">Light vehicles</t>
  </si>
  <si>
    <t xml:space="preserve">Total effective diesel kW</t>
  </si>
  <si>
    <t xml:space="preserve">Airflow per diesel kW (m³/s per kW)</t>
  </si>
  <si>
    <t xml:space="preserve">People underground (max shift)</t>
  </si>
  <si>
    <t xml:space="preserve">Airflow per person (m³/s)</t>
  </si>
  <si>
    <t xml:space="preserve">Leakage and recirculation allowance</t>
  </si>
  <si>
    <t xml:space="preserve">Required airflow Q (m³/s)</t>
  </si>
  <si>
    <t xml:space="preserve">Airways (Atkinson: R = k·L·P / A³, p = R·Q²)</t>
  </si>
  <si>
    <t xml:space="preserve">Airway</t>
  </si>
  <si>
    <t xml:space="preserve">Length (m)</t>
  </si>
  <si>
    <t xml:space="preserve">Width or Ø (m)</t>
  </si>
  <si>
    <t xml:space="preserve">Height (m)</t>
  </si>
  <si>
    <t xml:space="preserve">Shape (1=drive, 2=raise)</t>
  </si>
  <si>
    <t xml:space="preserve">Area (m²)</t>
  </si>
  <si>
    <t xml:space="preserve">Perimeter (m)</t>
  </si>
  <si>
    <t xml:space="preserve">k (N·s²/m⁴)</t>
  </si>
  <si>
    <t xml:space="preserve">R (N·s²/m⁸)</t>
  </si>
  <si>
    <t xml:space="preserve">Share of Q</t>
  </si>
  <si>
    <t xml:space="preserve">Q (m³/s)</t>
  </si>
  <si>
    <t xml:space="preserve">p (Pa)</t>
  </si>
  <si>
    <t xml:space="preserve">Velocity (m/s)</t>
  </si>
  <si>
    <t xml:space="preserve">Decline (intake share)</t>
  </si>
  <si>
    <t xml:space="preserve">Fresh air raise FAR Ø4.0</t>
  </si>
  <si>
    <t xml:space="preserve">Level drive (one active level)</t>
  </si>
  <si>
    <t xml:space="preserve">Return air raise RAR Ø4.5</t>
  </si>
  <si>
    <t xml:space="preserve">Circuit pressure (intakes in parallel → level → return)</t>
  </si>
  <si>
    <t xml:space="preserve">Intake branch pressure (max of decline, FAR)</t>
  </si>
  <si>
    <t xml:space="preserve">Level + return pressure</t>
  </si>
  <si>
    <t xml:space="preserve">Shock &amp; fittings allowance</t>
  </si>
  <si>
    <t xml:space="preserve">Fan total pressure (Pa)</t>
  </si>
  <si>
    <t xml:space="preserve">Fan efficiency</t>
  </si>
  <si>
    <t xml:space="preserve">Air power (kW)</t>
  </si>
  <si>
    <t xml:space="preserve">Fan motor power (kW)</t>
  </si>
  <si>
    <t xml:space="preserve">Installed (2 fans in parallel), kW each</t>
  </si>
  <si>
    <t xml:space="preserve">Velocity checks</t>
  </si>
  <si>
    <t xml:space="preserve">Max velocity in drives (m/s)</t>
  </si>
  <si>
    <t xml:space="preserve">Decline:</t>
  </si>
  <si>
    <t xml:space="preserve">Level:</t>
  </si>
  <si>
    <t xml:space="preserve">Max velocity in raises (m/s)</t>
  </si>
  <si>
    <t xml:space="preserve">FAR:</t>
  </si>
  <si>
    <t xml:space="preserve">RAR:</t>
  </si>
  <si>
    <t xml:space="preserve">Min velocity in drives (m/s)</t>
  </si>
  <si>
    <t xml:space="preserve">Dewatering — pump station and rising main</t>
  </si>
  <si>
    <t xml:space="preserve">Groundwater inflow, upper levels (L/s)</t>
  </si>
  <si>
    <t xml:space="preserve">Groundwater inflow, lower levels (L/s)</t>
  </si>
  <si>
    <t xml:space="preserve">Drill &amp; dust-suppression water (L/s)</t>
  </si>
  <si>
    <t xml:space="preserve">Design factor on inflow</t>
  </si>
  <si>
    <t xml:space="preserve">Pump station RL (m)</t>
  </si>
  <si>
    <t xml:space="preserve">Discharge RL at portal (m)</t>
  </si>
  <si>
    <t xml:space="preserve">Rising main length (m)</t>
  </si>
  <si>
    <t xml:space="preserve">Pipe internal diameter (m)</t>
  </si>
  <si>
    <t xml:space="preserve">Hazen-Williams C</t>
  </si>
  <si>
    <t xml:space="preserve">Fittings &amp; minor losses (fraction of friction)</t>
  </si>
  <si>
    <t xml:space="preserve">Pump efficiency</t>
  </si>
  <si>
    <t xml:space="preserve">Sump retention (minutes)</t>
  </si>
  <si>
    <t xml:space="preserve">Design inflow (L/s)</t>
  </si>
  <si>
    <t xml:space="preserve">Design flow (m³/h)</t>
  </si>
  <si>
    <t xml:space="preserve">Design flow (m³/s)</t>
  </si>
  <si>
    <t xml:space="preserve">Static head (m)</t>
  </si>
  <si>
    <t xml:space="preserve">Friction head, Hazen-Williams (m)</t>
  </si>
  <si>
    <t xml:space="preserve">Total dynamic head (m)</t>
  </si>
  <si>
    <t xml:space="preserve">Pipe velocity (m/s)</t>
  </si>
  <si>
    <t xml:space="preserve">Pump shaft power (kW)</t>
  </si>
  <si>
    <t xml:space="preserve">Installed (duty + standby), kW each</t>
  </si>
  <si>
    <t xml:space="preserve">Main sump volume (m³)</t>
  </si>
  <si>
    <t xml:space="preserve">Stages if one pump lifts ≤ 250 m</t>
  </si>
  <si>
    <t xml:space="preserve">Development round — jumbo face (pattern from dev_face_pattern.csv)</t>
  </si>
  <si>
    <t xml:space="preserve">Face width (m)</t>
  </si>
  <si>
    <t xml:space="preserve">Face height (m)</t>
  </si>
  <si>
    <t xml:space="preserve">Arch/profile factor</t>
  </si>
  <si>
    <t xml:space="preserve">Drilled length (m)</t>
  </si>
  <si>
    <t xml:space="preserve">Pull efficiency</t>
  </si>
  <si>
    <t xml:space="preserve">Charged holes</t>
  </si>
  <si>
    <t xml:space="preserve">Reamer holes (uncharged)</t>
  </si>
  <si>
    <t xml:space="preserve">Hole diameter (mm)</t>
  </si>
  <si>
    <t xml:space="preserve">Stemming / uncharged collar (m)</t>
  </si>
  <si>
    <t xml:space="preserve">Emulsion density (g/cm³)</t>
  </si>
  <si>
    <t xml:space="preserve">Rock SG (t/m³)</t>
  </si>
  <si>
    <t xml:space="preserve">Explosive cost ($/kg)</t>
  </si>
  <si>
    <t xml:space="preserve">Face area (m²)</t>
  </si>
  <si>
    <t xml:space="preserve">Advance per round (m)</t>
  </si>
  <si>
    <t xml:space="preserve">Charge per hole (kg)</t>
  </si>
  <si>
    <t xml:space="preserve">Explosive per round (kg)</t>
  </si>
  <si>
    <t xml:space="preserve">Broken volume per round (m³)</t>
  </si>
  <si>
    <t xml:space="preserve">Broken tonnes per round (t)</t>
  </si>
  <si>
    <t xml:space="preserve">Powder factor (kg/m³)</t>
  </si>
  <si>
    <t xml:space="preserve">Powder factor (kg/t)</t>
  </si>
  <si>
    <t xml:space="preserve">Drilling per round (m)</t>
  </si>
  <si>
    <t xml:space="preserve">Specific drilling (m/m³)</t>
  </si>
  <si>
    <t xml:space="preserve">Explosive cost per metre advance ($/m)</t>
  </si>
  <si>
    <t xml:space="preserve">Holes by type (from TerraMind)</t>
  </si>
  <si>
    <t xml:space="preserve">Type</t>
  </si>
  <si>
    <t xml:space="preserve">Holes</t>
  </si>
  <si>
    <t xml:space="preserve">back</t>
  </si>
  <si>
    <t xml:space="preserve">cut</t>
  </si>
  <si>
    <t xml:space="preserve">easer</t>
  </si>
  <si>
    <t xml:space="preserve">lifter</t>
  </si>
  <si>
    <t xml:space="preserve">reamer</t>
  </si>
  <si>
    <t xml:space="preserve">wall</t>
  </si>
  <si>
    <t xml:space="preserve">Total</t>
  </si>
  <si>
    <t xml:space="preserve">Longhole ring design — stope ST_675_08 (from stope_ring_design.csv)</t>
  </si>
  <si>
    <t xml:space="preserve">Ring</t>
  </si>
  <si>
    <t xml:space="preserve">Hole</t>
  </si>
  <si>
    <t xml:space="preserve">Charged length (m)</t>
  </si>
  <si>
    <t xml:space="preserve">ANFO (kg)</t>
  </si>
  <si>
    <t xml:space="preserve">Inputs</t>
  </si>
  <si>
    <t xml:space="preserve">Uncharged collar (m)</t>
  </si>
  <si>
    <t xml:space="preserve">ANFO density (g/cm³)</t>
  </si>
  <si>
    <t xml:space="preserve">Ring burden (m)</t>
  </si>
  <si>
    <t xml:space="preserve">Stope width (m)</t>
  </si>
  <si>
    <t xml:space="preserve">Stope height (m)</t>
  </si>
  <si>
    <t xml:space="preserve">Rings in stope</t>
  </si>
  <si>
    <t xml:space="preserve">Total drilling (m)</t>
  </si>
  <si>
    <t xml:space="preserve">Total ANFO (kg)</t>
  </si>
  <si>
    <t xml:space="preserve">Tonnes per ring</t>
  </si>
  <si>
    <t xml:space="preserve">Tonnes blasted (all rings)</t>
  </si>
  <si>
    <t xml:space="preserve">Drilling yield (t per m)</t>
  </si>
  <si>
    <t xml:space="preserve">Development metres (from levels_and_development.csv)</t>
  </si>
  <si>
    <t xml:space="preserve">Item</t>
  </si>
  <si>
    <t xml:space="preserve">RL</t>
  </si>
  <si>
    <t xml:space="preserve">Summary</t>
  </si>
  <si>
    <t xml:space="preserve">Decline_CL_1in7_5.5x5.8</t>
  </si>
  <si>
    <t xml:space="preserve">Decline (m)</t>
  </si>
  <si>
    <t xml:space="preserve">OreDrive_RL850</t>
  </si>
  <si>
    <t xml:space="preserve">Ore drives (m)</t>
  </si>
  <si>
    <t xml:space="preserve">Crosscut_RL850</t>
  </si>
  <si>
    <t xml:space="preserve">Crosscuts (m)</t>
  </si>
  <si>
    <t xml:space="preserve">OreDrive_RL825</t>
  </si>
  <si>
    <t xml:space="preserve">Total lateral development (m)</t>
  </si>
  <si>
    <t xml:space="preserve">Crosscut_RL825</t>
  </si>
  <si>
    <t xml:space="preserve">OreDrive_RL800</t>
  </si>
  <si>
    <t xml:space="preserve">Jumbos</t>
  </si>
  <si>
    <t xml:space="preserve">Crosscut_RL800</t>
  </si>
  <si>
    <t xml:space="preserve">Advance per jumbo (m/month)</t>
  </si>
  <si>
    <t xml:space="preserve">OreDrive_RL775</t>
  </si>
  <si>
    <t xml:space="preserve">Development time (months)</t>
  </si>
  <si>
    <t xml:space="preserve">Crosscut_RL775</t>
  </si>
  <si>
    <t xml:space="preserve">Development cost ($/m)</t>
  </si>
  <si>
    <t xml:space="preserve">OreDrive_RL750</t>
  </si>
  <si>
    <t xml:space="preserve">Development capital ($M)</t>
  </si>
  <si>
    <t xml:space="preserve">Crosscut_RL750</t>
  </si>
  <si>
    <t xml:space="preserve">OreDrive_RL725</t>
  </si>
  <si>
    <t xml:space="preserve">Crosscut_RL725</t>
  </si>
  <si>
    <t xml:space="preserve">OreDrive_RL700</t>
  </si>
  <si>
    <t xml:space="preserve">Crosscut_RL700</t>
  </si>
  <si>
    <t xml:space="preserve">OreDrive_RL675</t>
  </si>
  <si>
    <t xml:space="preserve">Crosscut_RL675</t>
  </si>
  <si>
    <t xml:space="preserve">OreDrive_RL650</t>
  </si>
  <si>
    <t xml:space="preserve">Crosscut_RL650</t>
  </si>
  <si>
    <t xml:space="preserve">OreDrive_RL625</t>
  </si>
  <si>
    <t xml:space="preserve">Crosscut_RL625</t>
  </si>
  <si>
    <t xml:space="preserve">OreDrive_RL600</t>
  </si>
  <si>
    <t xml:space="preserve">Crosscut_RL600</t>
  </si>
  <si>
    <t xml:space="preserve">OreDrive_RL575</t>
  </si>
  <si>
    <t xml:space="preserve">Crosscut_RL575</t>
  </si>
  <si>
    <t xml:space="preserve">OreDrive_RL550</t>
  </si>
  <si>
    <t xml:space="preserve">Crosscut_RL550</t>
  </si>
  <si>
    <t xml:space="preserve">OreDrive_RL525</t>
  </si>
  <si>
    <t xml:space="preserve">Crosscut_RL525</t>
  </si>
  <si>
    <t xml:space="preserve">OreDrive_RL500</t>
  </si>
  <si>
    <t xml:space="preserve">Crosscut_RL500</t>
  </si>
  <si>
    <t xml:space="preserve">Stope inventory (design tonnes from TerraMind; grade comes from Geology → Stope reserves)</t>
  </si>
  <si>
    <t xml:space="preserve">Stope</t>
  </si>
  <si>
    <t xml:space="preserve">Top RL</t>
  </si>
  <si>
    <t xml:space="preserve">Base RL</t>
  </si>
  <si>
    <t xml:space="preserve">Strike from</t>
  </si>
  <si>
    <t xml:space="preserve">Strike to</t>
  </si>
  <si>
    <t xml:space="preserve">Volume (m³)</t>
  </si>
  <si>
    <t xml:space="preserve">Tonnes</t>
  </si>
  <si>
    <t xml:space="preserve">Stopes</t>
  </si>
  <si>
    <t xml:space="preserve">ST_825_05</t>
  </si>
  <si>
    <t xml:space="preserve">ST_825_06</t>
  </si>
  <si>
    <t xml:space="preserve">ST_825_07</t>
  </si>
  <si>
    <t xml:space="preserve">ST_825_08</t>
  </si>
  <si>
    <t xml:space="preserve">ST_825_09</t>
  </si>
  <si>
    <t xml:space="preserve">ST_825_10</t>
  </si>
  <si>
    <t xml:space="preserve">ST_800_05</t>
  </si>
  <si>
    <t xml:space="preserve">ST_800_06</t>
  </si>
  <si>
    <t xml:space="preserve">ST_800_07</t>
  </si>
  <si>
    <t xml:space="preserve">ST_800_08</t>
  </si>
  <si>
    <t xml:space="preserve">ST_800_09</t>
  </si>
  <si>
    <t xml:space="preserve">ST_800_10</t>
  </si>
  <si>
    <t xml:space="preserve">ST_775_05</t>
  </si>
  <si>
    <t xml:space="preserve">ST_775_06</t>
  </si>
  <si>
    <t xml:space="preserve">ST_775_07</t>
  </si>
  <si>
    <t xml:space="preserve">ST_775_08</t>
  </si>
  <si>
    <t xml:space="preserve">ST_775_09</t>
  </si>
  <si>
    <t xml:space="preserve">ST_775_10</t>
  </si>
  <si>
    <t xml:space="preserve">ST_775_12</t>
  </si>
  <si>
    <t xml:space="preserve">ST_775_13</t>
  </si>
  <si>
    <t xml:space="preserve">ST_750_06</t>
  </si>
  <si>
    <t xml:space="preserve">ST_750_07</t>
  </si>
  <si>
    <t xml:space="preserve">ST_750_08</t>
  </si>
  <si>
    <t xml:space="preserve">ST_750_09</t>
  </si>
  <si>
    <t xml:space="preserve">ST_750_11</t>
  </si>
  <si>
    <t xml:space="preserve">ST_750_12</t>
  </si>
  <si>
    <t xml:space="preserve">ST_750_13</t>
  </si>
  <si>
    <t xml:space="preserve">ST_725_06</t>
  </si>
  <si>
    <t xml:space="preserve">ST_725_07</t>
  </si>
  <si>
    <t xml:space="preserve">ST_725_08</t>
  </si>
  <si>
    <t xml:space="preserve">ST_725_09</t>
  </si>
  <si>
    <t xml:space="preserve">ST_725_11</t>
  </si>
  <si>
    <t xml:space="preserve">ST_725_12</t>
  </si>
  <si>
    <t xml:space="preserve">ST_725_13</t>
  </si>
  <si>
    <t xml:space="preserve">ST_700_07</t>
  </si>
  <si>
    <t xml:space="preserve">ST_700_08</t>
  </si>
  <si>
    <t xml:space="preserve">ST_700_09</t>
  </si>
  <si>
    <t xml:space="preserve">ST_700_11</t>
  </si>
  <si>
    <t xml:space="preserve">ST_700_12</t>
  </si>
  <si>
    <t xml:space="preserve">ST_700_13</t>
  </si>
  <si>
    <t xml:space="preserve">ST_675_07</t>
  </si>
  <si>
    <t xml:space="preserve">ST_675_08</t>
  </si>
  <si>
    <t xml:space="preserve">ST_675_09</t>
  </si>
  <si>
    <t xml:space="preserve">ST_675_11</t>
  </si>
  <si>
    <t xml:space="preserve">ST_675_12</t>
  </si>
  <si>
    <t xml:space="preserve">ST_675_13</t>
  </si>
  <si>
    <t xml:space="preserve">ST_650_07</t>
  </si>
  <si>
    <t xml:space="preserve">ST_650_08</t>
  </si>
  <si>
    <t xml:space="preserve">ST_650_09</t>
  </si>
  <si>
    <t xml:space="preserve">ST_650_11</t>
  </si>
  <si>
    <t xml:space="preserve">ST_650_12</t>
  </si>
  <si>
    <t xml:space="preserve">ST_650_13</t>
  </si>
  <si>
    <t xml:space="preserve">ST_625_07</t>
  </si>
  <si>
    <t xml:space="preserve">ST_625_08</t>
  </si>
  <si>
    <t xml:space="preserve">ST_625_09</t>
  </si>
  <si>
    <t xml:space="preserve">ST_625_11</t>
  </si>
  <si>
    <t xml:space="preserve">ST_625_12</t>
  </si>
  <si>
    <t xml:space="preserve">ST_625_13</t>
  </si>
  <si>
    <t xml:space="preserve">ST_600_07</t>
  </si>
  <si>
    <t xml:space="preserve">ST_600_08</t>
  </si>
  <si>
    <t xml:space="preserve">ST_600_09</t>
  </si>
  <si>
    <t xml:space="preserve">ST_600_11</t>
  </si>
  <si>
    <t xml:space="preserve">ST_600_12</t>
  </si>
  <si>
    <t xml:space="preserve">ST_600_13</t>
  </si>
  <si>
    <t xml:space="preserve">ST_575_08</t>
  </si>
  <si>
    <t xml:space="preserve">ST_575_09</t>
  </si>
  <si>
    <t xml:space="preserve">ST_575_11</t>
  </si>
  <si>
    <t xml:space="preserve">ST_575_12</t>
  </si>
  <si>
    <t xml:space="preserve">ST_575_13</t>
  </si>
  <si>
    <t xml:space="preserve">ST_550_08</t>
  </si>
  <si>
    <t xml:space="preserve">ST_550_09</t>
  </si>
  <si>
    <t xml:space="preserve">ST_550_10</t>
  </si>
  <si>
    <t xml:space="preserve">ST_550_11</t>
  </si>
  <si>
    <t xml:space="preserve">ST_550_12</t>
  </si>
  <si>
    <t xml:space="preserve">ST_550_13</t>
  </si>
  <si>
    <t xml:space="preserve">ST_550_14</t>
  </si>
  <si>
    <t xml:space="preserve">ST_525_08</t>
  </si>
  <si>
    <t xml:space="preserve">ST_525_09</t>
  </si>
  <si>
    <t xml:space="preserve">ST_525_10</t>
  </si>
  <si>
    <t xml:space="preserve">ST_525_11</t>
  </si>
  <si>
    <t xml:space="preserve">ST_525_12</t>
  </si>
  <si>
    <t xml:space="preserve">ST_525_13</t>
  </si>
  <si>
    <t xml:space="preserve">ST_525_14</t>
  </si>
  <si>
    <t xml:space="preserve">ST_500_08</t>
  </si>
  <si>
    <t xml:space="preserve">ST_500_10</t>
  </si>
  <si>
    <t xml:space="preserve">ST_500_11</t>
  </si>
  <si>
    <t xml:space="preserve">ST_500_12</t>
  </si>
  <si>
    <t xml:space="preserve">ST_500_13</t>
  </si>
  <si>
    <t xml:space="preserve">ST_500_14</t>
  </si>
  <si>
    <t xml:space="preserve">Production summary</t>
  </si>
  <si>
    <t xml:space="preserve">Planned dilution</t>
  </si>
  <si>
    <t xml:space="preserve">Ore recovery (mining)</t>
  </si>
  <si>
    <t xml:space="preserve">Stope design tonnes</t>
  </si>
  <si>
    <t xml:space="preserve">Mined ore tonnes</t>
  </si>
  <si>
    <t xml:space="preserve">Mill rate (t/year)</t>
  </si>
  <si>
    <t xml:space="preserve">Stoping life (years)</t>
  </si>
  <si>
    <t xml:space="preserve">Primary fan motor (kW)</t>
  </si>
  <si>
    <t xml:space="preserve">Dewatering pump power (kW)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</si>
</sst>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0%"/>
    <numFmt numFmtId="167" formatCode="#,##0"/>
    <numFmt numFmtId="168" formatCode="0.000"/>
    <numFmt numFmtId="169" formatCode="0.00"/>
    <numFmt numFmtId="170" formatCode="0.0"/>
    <numFmt numFmtId="171" formatCode="0.0000"/>
    <numFmt numFmtId="172" formatCode="#,##0.0"/>
    <numFmt numFmtId="173" formatCode="\$0.00"/>
    <numFmt numFmtId="174" formatCode="\$#,##0"/>
    <numFmt numFmtId="175" formatCode="\$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4D6"/>
      </left>
      <right style="thin">
        <color rgb="FFB7C4D6"/>
      </right>
      <top style="thin">
        <color rgb="FFB7C4D6"/>
      </top>
      <bottom style="thin">
        <color rgb="FFB7C4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4D6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5" min="3" style="0" width="11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10" min="9" style="0" width="12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4"/>
  </cols>
  <sheetData>
    <row r="1" customFormat="false" ht="16.15" hidden="false" customHeight="false" outlineLevel="0" collapsed="false">
      <c r="A1" s="1" t="s">
        <v>12</v>
      </c>
    </row>
    <row r="3" customFormat="false" ht="15" hidden="false" customHeight="false" outlineLevel="0" collapsed="false">
      <c r="A3" s="3" t="s">
        <v>13</v>
      </c>
    </row>
    <row r="4" customFormat="false" ht="26.85" hidden="false" customHeight="false" outlineLevel="0" collapsed="false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</row>
    <row r="5" customFormat="false" ht="15" hidden="false" customHeight="false" outlineLevel="0" collapsed="false">
      <c r="A5" s="2" t="s">
        <v>19</v>
      </c>
      <c r="B5" s="5" t="n">
        <v>3</v>
      </c>
      <c r="C5" s="5" t="n">
        <v>250</v>
      </c>
      <c r="D5" s="6" t="n">
        <v>1</v>
      </c>
      <c r="E5" s="7" t="n">
        <f aca="false">B5*C5*D5</f>
        <v>750</v>
      </c>
    </row>
    <row r="6" customFormat="false" ht="15" hidden="false" customHeight="false" outlineLevel="0" collapsed="false">
      <c r="A6" s="2" t="s">
        <v>20</v>
      </c>
      <c r="B6" s="5" t="n">
        <v>4</v>
      </c>
      <c r="C6" s="5" t="n">
        <v>450</v>
      </c>
      <c r="D6" s="6" t="n">
        <v>1</v>
      </c>
      <c r="E6" s="7" t="n">
        <f aca="false">B6*C6*D6</f>
        <v>1800</v>
      </c>
    </row>
    <row r="7" customFormat="false" ht="15" hidden="false" customHeight="false" outlineLevel="0" collapsed="false">
      <c r="A7" s="2" t="s">
        <v>21</v>
      </c>
      <c r="B7" s="5" t="n">
        <v>2</v>
      </c>
      <c r="C7" s="5" t="n">
        <v>110</v>
      </c>
      <c r="D7" s="6" t="n">
        <v>0.5</v>
      </c>
      <c r="E7" s="7" t="n">
        <f aca="false">B7*C7*D7</f>
        <v>110</v>
      </c>
    </row>
    <row r="8" customFormat="false" ht="15" hidden="false" customHeight="false" outlineLevel="0" collapsed="false">
      <c r="A8" s="2" t="s">
        <v>22</v>
      </c>
      <c r="B8" s="5" t="n">
        <v>2</v>
      </c>
      <c r="C8" s="5" t="n">
        <v>90</v>
      </c>
      <c r="D8" s="6" t="n">
        <v>0.5</v>
      </c>
      <c r="E8" s="7" t="n">
        <f aca="false">B8*C8*D8</f>
        <v>90</v>
      </c>
    </row>
    <row r="9" customFormat="false" ht="15" hidden="false" customHeight="false" outlineLevel="0" collapsed="false">
      <c r="A9" s="2" t="s">
        <v>23</v>
      </c>
      <c r="B9" s="5" t="n">
        <v>6</v>
      </c>
      <c r="C9" s="5" t="n">
        <v>110</v>
      </c>
      <c r="D9" s="6" t="n">
        <v>0.6</v>
      </c>
      <c r="E9" s="7" t="n">
        <f aca="false">B9*C9*D9</f>
        <v>396</v>
      </c>
    </row>
    <row r="10" customFormat="false" ht="15" hidden="false" customHeight="false" outlineLevel="0" collapsed="false">
      <c r="A10" s="2" t="s">
        <v>24</v>
      </c>
      <c r="B10" s="5" t="n">
        <v>5</v>
      </c>
      <c r="C10" s="5" t="n">
        <v>100</v>
      </c>
      <c r="D10" s="6" t="n">
        <v>0.4</v>
      </c>
      <c r="E10" s="7" t="n">
        <f aca="false">B10*C10*D10</f>
        <v>200</v>
      </c>
    </row>
    <row r="11" customFormat="false" ht="15" hidden="false" customHeight="false" outlineLevel="0" collapsed="false">
      <c r="A11" s="3" t="s">
        <v>25</v>
      </c>
      <c r="E11" s="8" t="n">
        <f aca="false">SUM(E5:E10)</f>
        <v>3346</v>
      </c>
    </row>
    <row r="13" customFormat="false" ht="15" hidden="false" customHeight="false" outlineLevel="0" collapsed="false">
      <c r="A13" s="2" t="s">
        <v>26</v>
      </c>
      <c r="B13" s="9" t="n">
        <v>0.06</v>
      </c>
    </row>
    <row r="14" customFormat="false" ht="15" hidden="false" customHeight="false" outlineLevel="0" collapsed="false">
      <c r="A14" s="2" t="s">
        <v>27</v>
      </c>
      <c r="B14" s="5" t="n">
        <v>60</v>
      </c>
    </row>
    <row r="15" customFormat="false" ht="15" hidden="false" customHeight="false" outlineLevel="0" collapsed="false">
      <c r="A15" s="2" t="s">
        <v>28</v>
      </c>
      <c r="B15" s="10" t="n">
        <v>0.1</v>
      </c>
    </row>
    <row r="16" customFormat="false" ht="15" hidden="false" customHeight="false" outlineLevel="0" collapsed="false">
      <c r="A16" s="2" t="s">
        <v>29</v>
      </c>
      <c r="B16" s="6" t="n">
        <v>0.15</v>
      </c>
    </row>
    <row r="17" customFormat="false" ht="15" hidden="false" customHeight="false" outlineLevel="0" collapsed="false">
      <c r="A17" s="3" t="s">
        <v>30</v>
      </c>
      <c r="B17" s="11" t="n">
        <f aca="false">(E11*B13+B14*B15)*(1+B16)</f>
        <v>237.774</v>
      </c>
    </row>
    <row r="19" customFormat="false" ht="15" hidden="false" customHeight="false" outlineLevel="0" collapsed="false">
      <c r="A19" s="3" t="s">
        <v>31</v>
      </c>
    </row>
    <row r="20" customFormat="false" ht="39.55" hidden="false" customHeight="false" outlineLevel="0" collapsed="false">
      <c r="A20" s="4" t="s">
        <v>32</v>
      </c>
      <c r="B20" s="4" t="s">
        <v>33</v>
      </c>
      <c r="C20" s="4" t="s">
        <v>34</v>
      </c>
      <c r="D20" s="4" t="s">
        <v>35</v>
      </c>
      <c r="E20" s="4" t="s">
        <v>36</v>
      </c>
      <c r="F20" s="4" t="s">
        <v>37</v>
      </c>
      <c r="G20" s="4" t="s">
        <v>38</v>
      </c>
      <c r="H20" s="4" t="s">
        <v>39</v>
      </c>
      <c r="I20" s="4" t="s">
        <v>40</v>
      </c>
      <c r="J20" s="4" t="s">
        <v>41</v>
      </c>
      <c r="K20" s="4" t="s">
        <v>42</v>
      </c>
      <c r="L20" s="4" t="s">
        <v>43</v>
      </c>
      <c r="M20" s="4" t="s">
        <v>44</v>
      </c>
    </row>
    <row r="21" customFormat="false" ht="15" hidden="false" customHeight="false" outlineLevel="0" collapsed="false">
      <c r="A21" s="2" t="s">
        <v>45</v>
      </c>
      <c r="B21" s="12" t="n">
        <v>3147</v>
      </c>
      <c r="C21" s="13" t="n">
        <v>5.5</v>
      </c>
      <c r="D21" s="13" t="n">
        <v>5.8</v>
      </c>
      <c r="E21" s="5" t="n">
        <v>1</v>
      </c>
      <c r="F21" s="14" t="n">
        <f aca="false">IF(E21=2,PI()*C21^2/4,C21*D21*0.92)</f>
        <v>29.348</v>
      </c>
      <c r="G21" s="14" t="n">
        <f aca="false">IF(E21=2,PI()*C21,2*(C21+D21)*0.95)</f>
        <v>21.47</v>
      </c>
      <c r="H21" s="9" t="n">
        <v>0.012</v>
      </c>
      <c r="I21" s="15" t="n">
        <f aca="false">H21*B21*G21/F21^3</f>
        <v>0.032075578820606</v>
      </c>
      <c r="J21" s="6" t="n">
        <v>0.55</v>
      </c>
      <c r="K21" s="14" t="n">
        <f aca="false">J21*$B$17</f>
        <v>130.7757</v>
      </c>
      <c r="L21" s="7" t="n">
        <f aca="false">I21*K21^2</f>
        <v>548.565649168187</v>
      </c>
      <c r="M21" s="14" t="n">
        <f aca="false">K21/F21</f>
        <v>4.45603448275862</v>
      </c>
    </row>
    <row r="22" customFormat="false" ht="15" hidden="false" customHeight="false" outlineLevel="0" collapsed="false">
      <c r="A22" s="2" t="s">
        <v>46</v>
      </c>
      <c r="B22" s="12" t="n">
        <v>440</v>
      </c>
      <c r="C22" s="13" t="n">
        <v>4</v>
      </c>
      <c r="D22" s="13" t="n">
        <v>0</v>
      </c>
      <c r="E22" s="5" t="n">
        <v>2</v>
      </c>
      <c r="F22" s="14" t="n">
        <f aca="false">IF(E22=2,PI()*C22^2/4,C22*D22*0.92)</f>
        <v>12.5663706143592</v>
      </c>
      <c r="G22" s="14" t="n">
        <f aca="false">IF(E22=2,PI()*C22,2*(C22+D22)*0.95)</f>
        <v>12.5663706143592</v>
      </c>
      <c r="H22" s="9" t="n">
        <v>0.004</v>
      </c>
      <c r="I22" s="15" t="n">
        <f aca="false">H22*B22*G22/F22^3</f>
        <v>0.0111453302006572</v>
      </c>
      <c r="J22" s="6" t="n">
        <v>0.45</v>
      </c>
      <c r="K22" s="14" t="n">
        <f aca="false">J22*$B$17</f>
        <v>106.9983</v>
      </c>
      <c r="L22" s="7" t="n">
        <f aca="false">I22*K22^2</f>
        <v>127.598830828407</v>
      </c>
      <c r="M22" s="14" t="n">
        <f aca="false">K22/F22</f>
        <v>8.51465417371477</v>
      </c>
    </row>
    <row r="23" customFormat="false" ht="15" hidden="false" customHeight="false" outlineLevel="0" collapsed="false">
      <c r="A23" s="2" t="s">
        <v>47</v>
      </c>
      <c r="B23" s="12" t="n">
        <v>450</v>
      </c>
      <c r="C23" s="13" t="n">
        <v>4.5</v>
      </c>
      <c r="D23" s="13" t="n">
        <v>4.8</v>
      </c>
      <c r="E23" s="5" t="n">
        <v>1</v>
      </c>
      <c r="F23" s="14" t="n">
        <f aca="false">IF(E23=2,PI()*C23^2/4,C23*D23*0.92)</f>
        <v>19.872</v>
      </c>
      <c r="G23" s="14" t="n">
        <f aca="false">IF(E23=2,PI()*C23,2*(C23+D23)*0.95)</f>
        <v>17.67</v>
      </c>
      <c r="H23" s="9" t="n">
        <v>0.012</v>
      </c>
      <c r="I23" s="15" t="n">
        <f aca="false">H23*B23*G23/F23^3</f>
        <v>0.0121592160104019</v>
      </c>
      <c r="J23" s="6" t="n">
        <v>0.35</v>
      </c>
      <c r="K23" s="14" t="n">
        <f aca="false">J23*$B$17</f>
        <v>83.2209</v>
      </c>
      <c r="L23" s="7" t="n">
        <f aca="false">I23*K23^2</f>
        <v>84.2113035821838</v>
      </c>
      <c r="M23" s="14" t="n">
        <f aca="false">K23/F23</f>
        <v>4.18784722222222</v>
      </c>
    </row>
    <row r="24" customFormat="false" ht="15" hidden="false" customHeight="false" outlineLevel="0" collapsed="false">
      <c r="A24" s="2" t="s">
        <v>48</v>
      </c>
      <c r="B24" s="12" t="n">
        <v>440</v>
      </c>
      <c r="C24" s="13" t="n">
        <v>4.5</v>
      </c>
      <c r="D24" s="13" t="n">
        <v>0</v>
      </c>
      <c r="E24" s="5" t="n">
        <v>2</v>
      </c>
      <c r="F24" s="14" t="n">
        <f aca="false">IF(E24=2,PI()*C24^2/4,C24*D24*0.92)</f>
        <v>15.9043128087983</v>
      </c>
      <c r="G24" s="14" t="n">
        <f aca="false">IF(E24=2,PI()*C24,2*(C24+D24)*0.95)</f>
        <v>14.1371669411541</v>
      </c>
      <c r="H24" s="9" t="n">
        <v>0.004</v>
      </c>
      <c r="I24" s="15" t="n">
        <f aca="false">H24*B24*G24/F24^3</f>
        <v>0.00618486646708892</v>
      </c>
      <c r="J24" s="6" t="n">
        <v>1</v>
      </c>
      <c r="K24" s="14" t="n">
        <f aca="false">J24*$B$17</f>
        <v>237.774</v>
      </c>
      <c r="L24" s="7" t="n">
        <f aca="false">I24*K24^2</f>
        <v>349.670548864961</v>
      </c>
      <c r="M24" s="14" t="n">
        <f aca="false">K24/F24</f>
        <v>14.9502844202399</v>
      </c>
    </row>
    <row r="27" customFormat="false" ht="15" hidden="false" customHeight="false" outlineLevel="0" collapsed="false">
      <c r="A27" s="3" t="s">
        <v>49</v>
      </c>
    </row>
    <row r="28" customFormat="false" ht="15" hidden="false" customHeight="false" outlineLevel="0" collapsed="false">
      <c r="A28" s="2" t="s">
        <v>50</v>
      </c>
      <c r="B28" s="7" t="n">
        <f aca="false">MAX(L21,L22)</f>
        <v>548.565649168187</v>
      </c>
    </row>
    <row r="29" customFormat="false" ht="15" hidden="false" customHeight="false" outlineLevel="0" collapsed="false">
      <c r="A29" s="2" t="s">
        <v>51</v>
      </c>
      <c r="B29" s="7" t="n">
        <f aca="false">L23+L24</f>
        <v>433.881852447145</v>
      </c>
    </row>
    <row r="30" customFormat="false" ht="15" hidden="false" customHeight="false" outlineLevel="0" collapsed="false">
      <c r="A30" s="2" t="s">
        <v>52</v>
      </c>
      <c r="B30" s="6" t="n">
        <v>0.15</v>
      </c>
    </row>
    <row r="31" customFormat="false" ht="15" hidden="false" customHeight="false" outlineLevel="0" collapsed="false">
      <c r="A31" s="3" t="s">
        <v>53</v>
      </c>
      <c r="B31" s="8" t="n">
        <f aca="false">(B28+B29)*(1+B30)</f>
        <v>1129.81462685763</v>
      </c>
    </row>
    <row r="32" customFormat="false" ht="15" hidden="false" customHeight="false" outlineLevel="0" collapsed="false">
      <c r="A32" s="2" t="s">
        <v>54</v>
      </c>
      <c r="B32" s="6" t="n">
        <v>0.72</v>
      </c>
    </row>
    <row r="33" customFormat="false" ht="15" hidden="false" customHeight="false" outlineLevel="0" collapsed="false">
      <c r="A33" s="2" t="s">
        <v>55</v>
      </c>
      <c r="B33" s="16" t="n">
        <f aca="false">B31*$B$17/1000</f>
        <v>268.640543086447</v>
      </c>
    </row>
    <row r="34" customFormat="false" ht="15" hidden="false" customHeight="false" outlineLevel="0" collapsed="false">
      <c r="A34" s="3" t="s">
        <v>56</v>
      </c>
      <c r="B34" s="17" t="n">
        <f aca="false">B33/B32</f>
        <v>373.111865397842</v>
      </c>
    </row>
    <row r="35" customFormat="false" ht="15" hidden="false" customHeight="false" outlineLevel="0" collapsed="false">
      <c r="A35" s="2" t="s">
        <v>57</v>
      </c>
      <c r="B35" s="7" t="n">
        <f aca="false">ROUNDUP(B34/2/25,0)*25</f>
        <v>200</v>
      </c>
    </row>
    <row r="37" customFormat="false" ht="15" hidden="false" customHeight="false" outlineLevel="0" collapsed="false">
      <c r="A37" s="3" t="s">
        <v>58</v>
      </c>
    </row>
    <row r="38" customFormat="false" ht="15" hidden="false" customHeight="false" outlineLevel="0" collapsed="false">
      <c r="A38" s="2" t="s">
        <v>59</v>
      </c>
      <c r="B38" s="13" t="n">
        <v>6</v>
      </c>
      <c r="C38" s="2" t="s">
        <v>60</v>
      </c>
      <c r="D38" s="2" t="str">
        <f aca="false">IF(M21&lt;=B38,"OK","Too fast")</f>
        <v>OK</v>
      </c>
      <c r="E38" s="2" t="s">
        <v>61</v>
      </c>
      <c r="F38" s="2" t="str">
        <f aca="false">IF(M23&lt;=B38,"OK","Too fast")</f>
        <v>OK</v>
      </c>
    </row>
    <row r="39" customFormat="false" ht="15" hidden="false" customHeight="false" outlineLevel="0" collapsed="false">
      <c r="A39" s="2" t="s">
        <v>62</v>
      </c>
      <c r="B39" s="13" t="n">
        <v>20</v>
      </c>
      <c r="C39" s="2" t="s">
        <v>63</v>
      </c>
      <c r="D39" s="2" t="str">
        <f aca="false">IF(M22&lt;=B39,"OK","Too fast")</f>
        <v>OK</v>
      </c>
      <c r="E39" s="2" t="s">
        <v>64</v>
      </c>
      <c r="F39" s="2" t="str">
        <f aca="false">IF(M24&lt;=B39,"OK","Too fast")</f>
        <v>OK</v>
      </c>
    </row>
    <row r="40" customFormat="false" ht="15" hidden="false" customHeight="false" outlineLevel="0" collapsed="false">
      <c r="A40" s="2" t="s">
        <v>65</v>
      </c>
      <c r="B40" s="10" t="n">
        <v>0.25</v>
      </c>
      <c r="C40" s="2" t="s">
        <v>61</v>
      </c>
      <c r="D40" s="2" t="str">
        <f aca="false">IF(M23&gt;=B40,"OK","Too slow")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4"/>
    <col collapsed="false" customWidth="true" hidden="false" outlineLevel="0" max="4" min="4" style="0" width="40"/>
  </cols>
  <sheetData>
    <row r="1" customFormat="false" ht="16.15" hidden="false" customHeight="false" outlineLevel="0" collapsed="false">
      <c r="A1" s="1" t="s">
        <v>66</v>
      </c>
    </row>
    <row r="3" customFormat="false" ht="15" hidden="false" customHeight="false" outlineLevel="0" collapsed="false">
      <c r="A3" s="2" t="s">
        <v>67</v>
      </c>
      <c r="B3" s="13" t="n">
        <v>6</v>
      </c>
    </row>
    <row r="4" customFormat="false" ht="15" hidden="false" customHeight="false" outlineLevel="0" collapsed="false">
      <c r="A4" s="2" t="s">
        <v>68</v>
      </c>
      <c r="B4" s="13" t="n">
        <v>9</v>
      </c>
    </row>
    <row r="5" customFormat="false" ht="15" hidden="false" customHeight="false" outlineLevel="0" collapsed="false">
      <c r="A5" s="2" t="s">
        <v>69</v>
      </c>
      <c r="B5" s="13" t="n">
        <v>5</v>
      </c>
    </row>
    <row r="6" customFormat="false" ht="15" hidden="false" customHeight="false" outlineLevel="0" collapsed="false">
      <c r="A6" s="2" t="s">
        <v>70</v>
      </c>
      <c r="B6" s="10" t="n">
        <v>1.5</v>
      </c>
    </row>
    <row r="7" customFormat="false" ht="15" hidden="false" customHeight="false" outlineLevel="0" collapsed="false">
      <c r="A7" s="2" t="s">
        <v>71</v>
      </c>
      <c r="B7" s="13" t="n">
        <v>499</v>
      </c>
    </row>
    <row r="8" customFormat="false" ht="15" hidden="false" customHeight="false" outlineLevel="0" collapsed="false">
      <c r="A8" s="2" t="s">
        <v>72</v>
      </c>
      <c r="B8" s="13" t="n">
        <v>936.684</v>
      </c>
    </row>
    <row r="9" customFormat="false" ht="15" hidden="false" customHeight="false" outlineLevel="0" collapsed="false">
      <c r="A9" s="2" t="s">
        <v>73</v>
      </c>
      <c r="B9" s="12" t="n">
        <v>3147</v>
      </c>
    </row>
    <row r="10" customFormat="false" ht="15" hidden="false" customHeight="false" outlineLevel="0" collapsed="false">
      <c r="A10" s="2" t="s">
        <v>74</v>
      </c>
      <c r="B10" s="9" t="n">
        <v>0.19</v>
      </c>
    </row>
    <row r="11" customFormat="false" ht="15" hidden="false" customHeight="false" outlineLevel="0" collapsed="false">
      <c r="A11" s="2" t="s">
        <v>75</v>
      </c>
      <c r="B11" s="5" t="n">
        <v>130</v>
      </c>
    </row>
    <row r="12" customFormat="false" ht="15" hidden="false" customHeight="false" outlineLevel="0" collapsed="false">
      <c r="A12" s="2" t="s">
        <v>76</v>
      </c>
      <c r="B12" s="6" t="n">
        <v>0.1</v>
      </c>
    </row>
    <row r="13" customFormat="false" ht="15" hidden="false" customHeight="false" outlineLevel="0" collapsed="false">
      <c r="A13" s="2" t="s">
        <v>77</v>
      </c>
      <c r="B13" s="6" t="n">
        <v>0.7</v>
      </c>
    </row>
    <row r="14" customFormat="false" ht="15" hidden="false" customHeight="false" outlineLevel="0" collapsed="false">
      <c r="A14" s="2" t="s">
        <v>78</v>
      </c>
      <c r="B14" s="5" t="n">
        <v>30</v>
      </c>
    </row>
    <row r="16" customFormat="false" ht="15" hidden="false" customHeight="false" outlineLevel="0" collapsed="false">
      <c r="A16" s="3" t="s">
        <v>79</v>
      </c>
      <c r="B16" s="11" t="n">
        <f aca="false">(B3+B4+B5)*B6</f>
        <v>30</v>
      </c>
    </row>
    <row r="17" customFormat="false" ht="15" hidden="false" customHeight="false" outlineLevel="0" collapsed="false">
      <c r="A17" s="2" t="s">
        <v>80</v>
      </c>
      <c r="B17" s="14" t="n">
        <f aca="false">B16*3.6</f>
        <v>108</v>
      </c>
    </row>
    <row r="18" customFormat="false" ht="15" hidden="false" customHeight="false" outlineLevel="0" collapsed="false">
      <c r="A18" s="2" t="s">
        <v>81</v>
      </c>
      <c r="B18" s="15" t="n">
        <f aca="false">B16/1000</f>
        <v>0.03</v>
      </c>
    </row>
    <row r="19" customFormat="false" ht="15" hidden="false" customHeight="false" outlineLevel="0" collapsed="false">
      <c r="A19" s="2" t="s">
        <v>82</v>
      </c>
      <c r="B19" s="14" t="n">
        <f aca="false">B8-B7</f>
        <v>437.684</v>
      </c>
    </row>
    <row r="20" customFormat="false" ht="15" hidden="false" customHeight="false" outlineLevel="0" collapsed="false">
      <c r="A20" s="2" t="s">
        <v>83</v>
      </c>
      <c r="B20" s="14" t="n">
        <f aca="false">10.67*B9*B18^1.852/(B11^1.852*B10^4.87)</f>
        <v>20.0972484270824</v>
      </c>
    </row>
    <row r="21" customFormat="false" ht="15" hidden="false" customHeight="false" outlineLevel="0" collapsed="false">
      <c r="A21" s="3" t="s">
        <v>84</v>
      </c>
      <c r="B21" s="11" t="n">
        <f aca="false">B19+B20*(1+B12)</f>
        <v>459.790973269791</v>
      </c>
    </row>
    <row r="22" customFormat="false" ht="15" hidden="false" customHeight="false" outlineLevel="0" collapsed="false">
      <c r="A22" s="2" t="s">
        <v>85</v>
      </c>
      <c r="B22" s="18" t="n">
        <f aca="false">B18/(PI()*B10^2/4)</f>
        <v>1.05809380448905</v>
      </c>
      <c r="C22" s="2" t="str">
        <f aca="false">IF(AND(B22&gt;=0.6,B22&lt;=2.5),"OK","Check pipe size")</f>
        <v>OK</v>
      </c>
    </row>
    <row r="23" customFormat="false" ht="15" hidden="false" customHeight="false" outlineLevel="0" collapsed="false">
      <c r="A23" s="3" t="s">
        <v>86</v>
      </c>
      <c r="B23" s="17" t="n">
        <f aca="false">1000*9.81*B18*B21/(B13*1000)</f>
        <v>193.309262047571</v>
      </c>
    </row>
    <row r="24" customFormat="false" ht="15" hidden="false" customHeight="false" outlineLevel="0" collapsed="false">
      <c r="A24" s="2" t="s">
        <v>87</v>
      </c>
      <c r="B24" s="7" t="n">
        <f aca="false">ROUNDUP(B23*1.15/5,0)*5</f>
        <v>225</v>
      </c>
    </row>
    <row r="25" customFormat="false" ht="15" hidden="false" customHeight="false" outlineLevel="0" collapsed="false">
      <c r="A25" s="2" t="s">
        <v>88</v>
      </c>
      <c r="B25" s="7" t="n">
        <f aca="false">B17*B14/60</f>
        <v>54</v>
      </c>
    </row>
    <row r="26" customFormat="false" ht="15" hidden="false" customHeight="false" outlineLevel="0" collapsed="false">
      <c r="A26" s="2" t="s">
        <v>89</v>
      </c>
      <c r="B26" s="19" t="n">
        <f aca="false">ROUNDUP(B21/250,0)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40"/>
  </cols>
  <sheetData>
    <row r="1" customFormat="false" ht="16.15" hidden="false" customHeight="false" outlineLevel="0" collapsed="false">
      <c r="A1" s="1" t="s">
        <v>90</v>
      </c>
    </row>
    <row r="3" customFormat="false" ht="15" hidden="false" customHeight="false" outlineLevel="0" collapsed="false">
      <c r="A3" s="2" t="s">
        <v>91</v>
      </c>
      <c r="B3" s="13" t="n">
        <v>5</v>
      </c>
    </row>
    <row r="4" customFormat="false" ht="15" hidden="false" customHeight="false" outlineLevel="0" collapsed="false">
      <c r="A4" s="2" t="s">
        <v>92</v>
      </c>
      <c r="B4" s="13" t="n">
        <v>5</v>
      </c>
    </row>
    <row r="5" customFormat="false" ht="15" hidden="false" customHeight="false" outlineLevel="0" collapsed="false">
      <c r="A5" s="2" t="s">
        <v>93</v>
      </c>
      <c r="B5" s="10" t="n">
        <v>0.95</v>
      </c>
    </row>
    <row r="6" customFormat="false" ht="15" hidden="false" customHeight="false" outlineLevel="0" collapsed="false">
      <c r="A6" s="2" t="s">
        <v>94</v>
      </c>
      <c r="B6" s="13" t="n">
        <v>4</v>
      </c>
    </row>
    <row r="7" customFormat="false" ht="15" hidden="false" customHeight="false" outlineLevel="0" collapsed="false">
      <c r="A7" s="2" t="s">
        <v>95</v>
      </c>
      <c r="B7" s="6" t="n">
        <v>0.9</v>
      </c>
    </row>
    <row r="8" customFormat="false" ht="15" hidden="false" customHeight="false" outlineLevel="0" collapsed="false">
      <c r="A8" s="2" t="s">
        <v>96</v>
      </c>
      <c r="B8" s="5" t="n">
        <v>44</v>
      </c>
    </row>
    <row r="9" customFormat="false" ht="15" hidden="false" customHeight="false" outlineLevel="0" collapsed="false">
      <c r="A9" s="2" t="s">
        <v>97</v>
      </c>
      <c r="B9" s="5" t="n">
        <v>4</v>
      </c>
    </row>
    <row r="10" customFormat="false" ht="15" hidden="false" customHeight="false" outlineLevel="0" collapsed="false">
      <c r="A10" s="2" t="s">
        <v>98</v>
      </c>
      <c r="B10" s="5" t="n">
        <v>45</v>
      </c>
    </row>
    <row r="11" customFormat="false" ht="15" hidden="false" customHeight="false" outlineLevel="0" collapsed="false">
      <c r="A11" s="2" t="s">
        <v>99</v>
      </c>
      <c r="B11" s="13" t="n">
        <v>0.6</v>
      </c>
    </row>
    <row r="12" customFormat="false" ht="15" hidden="false" customHeight="false" outlineLevel="0" collapsed="false">
      <c r="A12" s="2" t="s">
        <v>100</v>
      </c>
      <c r="B12" s="10" t="n">
        <v>1.15</v>
      </c>
    </row>
    <row r="13" customFormat="false" ht="15" hidden="false" customHeight="false" outlineLevel="0" collapsed="false">
      <c r="A13" s="2" t="s">
        <v>101</v>
      </c>
      <c r="B13" s="10" t="n">
        <v>2.75</v>
      </c>
    </row>
    <row r="14" customFormat="false" ht="15" hidden="false" customHeight="false" outlineLevel="0" collapsed="false">
      <c r="A14" s="2" t="s">
        <v>102</v>
      </c>
      <c r="B14" s="20" t="n">
        <v>2.2</v>
      </c>
    </row>
    <row r="16" customFormat="false" ht="15" hidden="false" customHeight="false" outlineLevel="0" collapsed="false">
      <c r="A16" s="2" t="s">
        <v>103</v>
      </c>
      <c r="B16" s="14" t="n">
        <f aca="false">B3*B4*B5</f>
        <v>23.75</v>
      </c>
    </row>
    <row r="17" customFormat="false" ht="15" hidden="false" customHeight="false" outlineLevel="0" collapsed="false">
      <c r="A17" s="3" t="s">
        <v>104</v>
      </c>
      <c r="B17" s="21" t="n">
        <f aca="false">B6*B7</f>
        <v>3.6</v>
      </c>
    </row>
    <row r="18" customFormat="false" ht="15" hidden="false" customHeight="false" outlineLevel="0" collapsed="false">
      <c r="A18" s="2" t="s">
        <v>105</v>
      </c>
      <c r="B18" s="18" t="n">
        <f aca="false">PI()*(B10/2000)^2*(B6-B11)*B12*1000</f>
        <v>6.21858630824015</v>
      </c>
    </row>
    <row r="19" customFormat="false" ht="15" hidden="false" customHeight="false" outlineLevel="0" collapsed="false">
      <c r="A19" s="3" t="s">
        <v>106</v>
      </c>
      <c r="B19" s="11" t="n">
        <f aca="false">B18*B8</f>
        <v>273.617797562566</v>
      </c>
    </row>
    <row r="20" customFormat="false" ht="15" hidden="false" customHeight="false" outlineLevel="0" collapsed="false">
      <c r="A20" s="2" t="s">
        <v>107</v>
      </c>
      <c r="B20" s="14" t="n">
        <f aca="false">B16*B17</f>
        <v>85.5</v>
      </c>
    </row>
    <row r="21" customFormat="false" ht="15" hidden="false" customHeight="false" outlineLevel="0" collapsed="false">
      <c r="A21" s="2" t="s">
        <v>108</v>
      </c>
      <c r="B21" s="7" t="n">
        <f aca="false">B20*B13</f>
        <v>235.125</v>
      </c>
    </row>
    <row r="22" customFormat="false" ht="15" hidden="false" customHeight="false" outlineLevel="0" collapsed="false">
      <c r="A22" s="3" t="s">
        <v>109</v>
      </c>
      <c r="B22" s="21" t="n">
        <f aca="false">B19/B20</f>
        <v>3.20020815862651</v>
      </c>
    </row>
    <row r="23" customFormat="false" ht="15" hidden="false" customHeight="false" outlineLevel="0" collapsed="false">
      <c r="A23" s="2" t="s">
        <v>110</v>
      </c>
      <c r="B23" s="22" t="n">
        <f aca="false">B19/B21</f>
        <v>1.16371205768237</v>
      </c>
    </row>
    <row r="24" customFormat="false" ht="15" hidden="false" customHeight="false" outlineLevel="0" collapsed="false">
      <c r="A24" s="2" t="s">
        <v>111</v>
      </c>
      <c r="B24" s="19" t="n">
        <f aca="false">(B8+B9)*B6</f>
        <v>192</v>
      </c>
    </row>
    <row r="25" customFormat="false" ht="15" hidden="false" customHeight="false" outlineLevel="0" collapsed="false">
      <c r="A25" s="2" t="s">
        <v>112</v>
      </c>
      <c r="B25" s="18" t="n">
        <f aca="false">B24/B20</f>
        <v>2.24561403508772</v>
      </c>
    </row>
    <row r="26" customFormat="false" ht="15" hidden="false" customHeight="false" outlineLevel="0" collapsed="false">
      <c r="A26" s="2" t="s">
        <v>113</v>
      </c>
      <c r="B26" s="23" t="n">
        <f aca="false">B19*B14/B17</f>
        <v>167.210876288235</v>
      </c>
    </row>
    <row r="28" customFormat="false" ht="15" hidden="false" customHeight="false" outlineLevel="0" collapsed="false">
      <c r="A28" s="3" t="s">
        <v>114</v>
      </c>
    </row>
    <row r="29" customFormat="false" ht="15" hidden="false" customHeight="false" outlineLevel="0" collapsed="false">
      <c r="A29" s="4" t="s">
        <v>115</v>
      </c>
      <c r="B29" s="4" t="s">
        <v>116</v>
      </c>
    </row>
    <row r="30" customFormat="false" ht="15" hidden="false" customHeight="false" outlineLevel="0" collapsed="false">
      <c r="A30" s="2" t="s">
        <v>117</v>
      </c>
      <c r="B30" s="2" t="n">
        <v>9</v>
      </c>
    </row>
    <row r="31" customFormat="false" ht="15" hidden="false" customHeight="false" outlineLevel="0" collapsed="false">
      <c r="A31" s="2" t="s">
        <v>118</v>
      </c>
      <c r="B31" s="2" t="n">
        <v>8</v>
      </c>
    </row>
    <row r="32" customFormat="false" ht="15" hidden="false" customHeight="false" outlineLevel="0" collapsed="false">
      <c r="A32" s="2" t="s">
        <v>119</v>
      </c>
      <c r="B32" s="2" t="n">
        <v>12</v>
      </c>
    </row>
    <row r="33" customFormat="false" ht="15" hidden="false" customHeight="false" outlineLevel="0" collapsed="false">
      <c r="A33" s="2" t="s">
        <v>120</v>
      </c>
      <c r="B33" s="2" t="n">
        <v>7</v>
      </c>
    </row>
    <row r="34" customFormat="false" ht="15" hidden="false" customHeight="false" outlineLevel="0" collapsed="false">
      <c r="A34" s="2" t="s">
        <v>121</v>
      </c>
      <c r="B34" s="2" t="n">
        <v>4</v>
      </c>
    </row>
    <row r="35" customFormat="false" ht="15" hidden="false" customHeight="false" outlineLevel="0" collapsed="false">
      <c r="A35" s="2" t="s">
        <v>122</v>
      </c>
      <c r="B35" s="2" t="n">
        <v>8</v>
      </c>
    </row>
    <row r="36" customFormat="false" ht="15" hidden="false" customHeight="false" outlineLevel="0" collapsed="false">
      <c r="A36" s="3" t="s">
        <v>123</v>
      </c>
      <c r="B36" s="24" t="n">
        <f aca="false">SUM(B30:B35)</f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0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8" min="8" style="0" width="30"/>
    <col collapsed="false" customWidth="true" hidden="false" outlineLevel="0" max="9" min="9" style="0" width="12"/>
  </cols>
  <sheetData>
    <row r="1" customFormat="false" ht="16.15" hidden="false" customHeight="false" outlineLevel="0" collapsed="false">
      <c r="A1" s="1" t="s">
        <v>124</v>
      </c>
    </row>
    <row r="3" customFormat="false" ht="26.85" hidden="false" customHeight="false" outlineLevel="0" collapsed="false">
      <c r="A3" s="4" t="s">
        <v>125</v>
      </c>
      <c r="B3" s="4" t="s">
        <v>126</v>
      </c>
      <c r="C3" s="4" t="s">
        <v>33</v>
      </c>
      <c r="D3" s="4" t="s">
        <v>127</v>
      </c>
      <c r="E3" s="4" t="s">
        <v>128</v>
      </c>
      <c r="H3" s="3" t="s">
        <v>129</v>
      </c>
    </row>
    <row r="4" customFormat="false" ht="15" hidden="false" customHeight="false" outlineLevel="0" collapsed="false">
      <c r="A4" s="0" t="n">
        <v>1</v>
      </c>
      <c r="B4" s="0" t="n">
        <v>1</v>
      </c>
      <c r="C4" s="13" t="n">
        <v>22</v>
      </c>
      <c r="D4" s="14" t="n">
        <f aca="false">MAX(0,C4-$I$5)</f>
        <v>19.5</v>
      </c>
      <c r="E4" s="14" t="n">
        <f aca="false">PI()*($I$4/2000)^2*D4*$I$6*1000</f>
        <v>103.115376476395</v>
      </c>
      <c r="H4" s="2" t="s">
        <v>98</v>
      </c>
      <c r="I4" s="5" t="n">
        <v>89</v>
      </c>
    </row>
    <row r="5" customFormat="false" ht="15" hidden="false" customHeight="false" outlineLevel="0" collapsed="false">
      <c r="A5" s="0" t="n">
        <v>1</v>
      </c>
      <c r="B5" s="0" t="n">
        <v>2</v>
      </c>
      <c r="C5" s="13" t="n">
        <v>22.23</v>
      </c>
      <c r="D5" s="14" t="n">
        <f aca="false">MAX(0,C5-$I$5)</f>
        <v>19.73</v>
      </c>
      <c r="E5" s="14" t="n">
        <f aca="false">PI()*($I$4/2000)^2*D5*$I$6*1000</f>
        <v>104.331609122014</v>
      </c>
      <c r="H5" s="2" t="s">
        <v>130</v>
      </c>
      <c r="I5" s="13" t="n">
        <v>2.5</v>
      </c>
    </row>
    <row r="6" customFormat="false" ht="15" hidden="false" customHeight="false" outlineLevel="0" collapsed="false">
      <c r="A6" s="0" t="n">
        <v>1</v>
      </c>
      <c r="B6" s="0" t="n">
        <v>3</v>
      </c>
      <c r="C6" s="13" t="n">
        <v>22.78</v>
      </c>
      <c r="D6" s="14" t="n">
        <f aca="false">MAX(0,C6-$I$5)</f>
        <v>20.28</v>
      </c>
      <c r="E6" s="14" t="n">
        <f aca="false">PI()*($I$4/2000)^2*D6*$I$6*1000</f>
        <v>107.239991535451</v>
      </c>
      <c r="H6" s="2" t="s">
        <v>131</v>
      </c>
      <c r="I6" s="10" t="n">
        <v>0.85</v>
      </c>
    </row>
    <row r="7" customFormat="false" ht="15" hidden="false" customHeight="false" outlineLevel="0" collapsed="false">
      <c r="A7" s="0" t="n">
        <v>1</v>
      </c>
      <c r="B7" s="0" t="n">
        <v>4</v>
      </c>
      <c r="C7" s="13" t="n">
        <v>23.62</v>
      </c>
      <c r="D7" s="14" t="n">
        <f aca="false">MAX(0,C7-$I$5)</f>
        <v>21.12</v>
      </c>
      <c r="E7" s="14" t="n">
        <f aca="false">PI()*($I$4/2000)^2*D7*$I$6*1000</f>
        <v>111.681884675972</v>
      </c>
      <c r="H7" s="2" t="s">
        <v>132</v>
      </c>
      <c r="I7" s="13" t="n">
        <v>2.5</v>
      </c>
    </row>
    <row r="8" customFormat="false" ht="15" hidden="false" customHeight="false" outlineLevel="0" collapsed="false">
      <c r="A8" s="0" t="n">
        <v>1</v>
      </c>
      <c r="B8" s="0" t="n">
        <v>5</v>
      </c>
      <c r="C8" s="13" t="n">
        <v>24.74</v>
      </c>
      <c r="D8" s="14" t="n">
        <f aca="false">MAX(0,C8-$I$5)</f>
        <v>22.24</v>
      </c>
      <c r="E8" s="14" t="n">
        <f aca="false">PI()*($I$4/2000)^2*D8*$I$6*1000</f>
        <v>117.604408863335</v>
      </c>
      <c r="H8" s="2" t="s">
        <v>133</v>
      </c>
      <c r="I8" s="13" t="n">
        <v>10</v>
      </c>
    </row>
    <row r="9" customFormat="false" ht="15" hidden="false" customHeight="false" outlineLevel="0" collapsed="false">
      <c r="A9" s="0" t="n">
        <v>1</v>
      </c>
      <c r="B9" s="0" t="n">
        <v>6</v>
      </c>
      <c r="C9" s="13" t="n">
        <v>10.37</v>
      </c>
      <c r="D9" s="14" t="n">
        <f aca="false">MAX(0,C9-$I$5)</f>
        <v>7.87</v>
      </c>
      <c r="E9" s="14" t="n">
        <f aca="false">PI()*($I$4/2000)^2*D9*$I$6*1000</f>
        <v>41.6163083522681</v>
      </c>
      <c r="H9" s="2" t="s">
        <v>134</v>
      </c>
      <c r="I9" s="13" t="n">
        <v>20</v>
      </c>
    </row>
    <row r="10" customFormat="false" ht="15" hidden="false" customHeight="false" outlineLevel="0" collapsed="false">
      <c r="A10" s="0" t="n">
        <v>1</v>
      </c>
      <c r="B10" s="0" t="n">
        <v>7</v>
      </c>
      <c r="C10" s="13" t="n">
        <v>12.87</v>
      </c>
      <c r="D10" s="14" t="n">
        <f aca="false">MAX(0,C10-$I$5)</f>
        <v>10.37</v>
      </c>
      <c r="E10" s="14" t="n">
        <f aca="false">PI()*($I$4/2000)^2*D10*$I$6*1000</f>
        <v>54.8362284133444</v>
      </c>
      <c r="H10" s="2" t="s">
        <v>101</v>
      </c>
      <c r="I10" s="10" t="n">
        <v>2.75</v>
      </c>
    </row>
    <row r="11" customFormat="false" ht="15" hidden="false" customHeight="false" outlineLevel="0" collapsed="false">
      <c r="A11" s="0" t="n">
        <v>2</v>
      </c>
      <c r="B11" s="0" t="n">
        <v>1</v>
      </c>
      <c r="C11" s="13" t="n">
        <v>22.01</v>
      </c>
      <c r="D11" s="14" t="n">
        <f aca="false">MAX(0,C11-$I$5)</f>
        <v>19.51</v>
      </c>
      <c r="E11" s="14" t="n">
        <f aca="false">PI()*($I$4/2000)^2*D11*$I$6*1000</f>
        <v>103.168256156639</v>
      </c>
    </row>
    <row r="12" customFormat="false" ht="15" hidden="false" customHeight="false" outlineLevel="0" collapsed="false">
      <c r="A12" s="0" t="n">
        <v>2</v>
      </c>
      <c r="B12" s="0" t="n">
        <v>2</v>
      </c>
      <c r="C12" s="13" t="n">
        <v>22.24</v>
      </c>
      <c r="D12" s="14" t="n">
        <f aca="false">MAX(0,C12-$I$5)</f>
        <v>19.74</v>
      </c>
      <c r="E12" s="14" t="n">
        <f aca="false">PI()*($I$4/2000)^2*D12*$I$6*1000</f>
        <v>104.384488802258</v>
      </c>
      <c r="H12" s="2" t="s">
        <v>135</v>
      </c>
      <c r="I12" s="19" t="n">
        <f aca="false">MAX(A4:A73)</f>
        <v>10</v>
      </c>
    </row>
    <row r="13" customFormat="false" ht="15" hidden="false" customHeight="false" outlineLevel="0" collapsed="false">
      <c r="A13" s="0" t="n">
        <v>2</v>
      </c>
      <c r="B13" s="0" t="n">
        <v>3</v>
      </c>
      <c r="C13" s="13" t="n">
        <v>22.78</v>
      </c>
      <c r="D13" s="14" t="n">
        <f aca="false">MAX(0,C13-$I$5)</f>
        <v>20.28</v>
      </c>
      <c r="E13" s="14" t="n">
        <f aca="false">PI()*($I$4/2000)^2*D13*$I$6*1000</f>
        <v>107.239991535451</v>
      </c>
      <c r="H13" s="2" t="s">
        <v>136</v>
      </c>
      <c r="I13" s="7" t="n">
        <f aca="false">SUM(C4:C73)</f>
        <v>1380.49</v>
      </c>
    </row>
    <row r="14" customFormat="false" ht="15" hidden="false" customHeight="false" outlineLevel="0" collapsed="false">
      <c r="A14" s="0" t="n">
        <v>2</v>
      </c>
      <c r="B14" s="0" t="n">
        <v>4</v>
      </c>
      <c r="C14" s="13" t="n">
        <v>23.61</v>
      </c>
      <c r="D14" s="14" t="n">
        <f aca="false">MAX(0,C14-$I$5)</f>
        <v>21.11</v>
      </c>
      <c r="E14" s="14" t="n">
        <f aca="false">PI()*($I$4/2000)^2*D14*$I$6*1000</f>
        <v>111.629004995728</v>
      </c>
      <c r="H14" s="3" t="s">
        <v>137</v>
      </c>
      <c r="I14" s="8" t="n">
        <f aca="false">SUM(E4:E73)</f>
        <v>6374.59257377074</v>
      </c>
    </row>
    <row r="15" customFormat="false" ht="15" hidden="false" customHeight="false" outlineLevel="0" collapsed="false">
      <c r="A15" s="0" t="n">
        <v>2</v>
      </c>
      <c r="B15" s="0" t="n">
        <v>5</v>
      </c>
      <c r="C15" s="13" t="n">
        <v>24.7</v>
      </c>
      <c r="D15" s="14" t="n">
        <f aca="false">MAX(0,C15-$I$5)</f>
        <v>22.2</v>
      </c>
      <c r="E15" s="14" t="n">
        <f aca="false">PI()*($I$4/2000)^2*D15*$I$6*1000</f>
        <v>117.392890142357</v>
      </c>
      <c r="H15" s="2" t="s">
        <v>138</v>
      </c>
      <c r="I15" s="7" t="n">
        <f aca="false">I7*I8*I9*I10</f>
        <v>1375</v>
      </c>
    </row>
    <row r="16" customFormat="false" ht="15" hidden="false" customHeight="false" outlineLevel="0" collapsed="false">
      <c r="A16" s="0" t="n">
        <v>2</v>
      </c>
      <c r="B16" s="0" t="n">
        <v>6</v>
      </c>
      <c r="C16" s="13" t="n">
        <v>10.35</v>
      </c>
      <c r="D16" s="14" t="n">
        <f aca="false">MAX(0,C16-$I$5)</f>
        <v>7.85</v>
      </c>
      <c r="E16" s="14" t="n">
        <f aca="false">PI()*($I$4/2000)^2*D16*$I$6*1000</f>
        <v>41.5105489917795</v>
      </c>
      <c r="H16" s="2" t="s">
        <v>139</v>
      </c>
      <c r="I16" s="7" t="n">
        <f aca="false">I15*I12</f>
        <v>13750</v>
      </c>
    </row>
    <row r="17" customFormat="false" ht="15" hidden="false" customHeight="false" outlineLevel="0" collapsed="false">
      <c r="A17" s="0" t="n">
        <v>2</v>
      </c>
      <c r="B17" s="0" t="n">
        <v>7</v>
      </c>
      <c r="C17" s="13" t="n">
        <v>12.82</v>
      </c>
      <c r="D17" s="14" t="n">
        <f aca="false">MAX(0,C17-$I$5)</f>
        <v>10.32</v>
      </c>
      <c r="E17" s="14" t="n">
        <f aca="false">PI()*($I$4/2000)^2*D17*$I$6*1000</f>
        <v>54.5718300121229</v>
      </c>
      <c r="H17" s="3" t="s">
        <v>110</v>
      </c>
      <c r="I17" s="25" t="n">
        <f aca="false">I14/I16</f>
        <v>0.463606732637872</v>
      </c>
    </row>
    <row r="18" customFormat="false" ht="15" hidden="false" customHeight="false" outlineLevel="0" collapsed="false">
      <c r="A18" s="0" t="n">
        <v>3</v>
      </c>
      <c r="B18" s="0" t="n">
        <v>1</v>
      </c>
      <c r="C18" s="13" t="n">
        <v>22.01</v>
      </c>
      <c r="D18" s="14" t="n">
        <f aca="false">MAX(0,C18-$I$5)</f>
        <v>19.51</v>
      </c>
      <c r="E18" s="14" t="n">
        <f aca="false">PI()*($I$4/2000)^2*D18*$I$6*1000</f>
        <v>103.168256156639</v>
      </c>
      <c r="H18" s="2" t="s">
        <v>140</v>
      </c>
      <c r="I18" s="14" t="n">
        <f aca="false">I16/I13</f>
        <v>9.96023151199936</v>
      </c>
    </row>
    <row r="19" customFormat="false" ht="15" hidden="false" customHeight="false" outlineLevel="0" collapsed="false">
      <c r="A19" s="0" t="n">
        <v>3</v>
      </c>
      <c r="B19" s="0" t="n">
        <v>2</v>
      </c>
      <c r="C19" s="13" t="n">
        <v>22.24</v>
      </c>
      <c r="D19" s="14" t="n">
        <f aca="false">MAX(0,C19-$I$5)</f>
        <v>19.74</v>
      </c>
      <c r="E19" s="14" t="n">
        <f aca="false">PI()*($I$4/2000)^2*D19*$I$6*1000</f>
        <v>104.384488802258</v>
      </c>
    </row>
    <row r="20" customFormat="false" ht="15" hidden="false" customHeight="false" outlineLevel="0" collapsed="false">
      <c r="A20" s="0" t="n">
        <v>3</v>
      </c>
      <c r="B20" s="0" t="n">
        <v>3</v>
      </c>
      <c r="C20" s="13" t="n">
        <v>22.78</v>
      </c>
      <c r="D20" s="14" t="n">
        <f aca="false">MAX(0,C20-$I$5)</f>
        <v>20.28</v>
      </c>
      <c r="E20" s="14" t="n">
        <f aca="false">PI()*($I$4/2000)^2*D20*$I$6*1000</f>
        <v>107.239991535451</v>
      </c>
    </row>
    <row r="21" customFormat="false" ht="15" hidden="false" customHeight="false" outlineLevel="0" collapsed="false">
      <c r="A21" s="0" t="n">
        <v>3</v>
      </c>
      <c r="B21" s="0" t="n">
        <v>4</v>
      </c>
      <c r="C21" s="13" t="n">
        <v>23.59</v>
      </c>
      <c r="D21" s="14" t="n">
        <f aca="false">MAX(0,C21-$I$5)</f>
        <v>21.09</v>
      </c>
      <c r="E21" s="14" t="n">
        <f aca="false">PI()*($I$4/2000)^2*D21*$I$6*1000</f>
        <v>111.523245635239</v>
      </c>
    </row>
    <row r="22" customFormat="false" ht="15" hidden="false" customHeight="false" outlineLevel="0" collapsed="false">
      <c r="A22" s="0" t="n">
        <v>3</v>
      </c>
      <c r="B22" s="0" t="n">
        <v>5</v>
      </c>
      <c r="C22" s="13" t="n">
        <v>24.66</v>
      </c>
      <c r="D22" s="14" t="n">
        <f aca="false">MAX(0,C22-$I$5)</f>
        <v>22.16</v>
      </c>
      <c r="E22" s="14" t="n">
        <f aca="false">PI()*($I$4/2000)^2*D22*$I$6*1000</f>
        <v>117.18137142138</v>
      </c>
    </row>
    <row r="23" customFormat="false" ht="15" hidden="false" customHeight="false" outlineLevel="0" collapsed="false">
      <c r="A23" s="0" t="n">
        <v>3</v>
      </c>
      <c r="B23" s="0" t="n">
        <v>6</v>
      </c>
      <c r="C23" s="13" t="n">
        <v>10.32</v>
      </c>
      <c r="D23" s="14" t="n">
        <f aca="false">MAX(0,C23-$I$5)</f>
        <v>7.82</v>
      </c>
      <c r="E23" s="14" t="n">
        <f aca="false">PI()*($I$4/2000)^2*D23*$I$6*1000</f>
        <v>41.3519099510466</v>
      </c>
    </row>
    <row r="24" customFormat="false" ht="15" hidden="false" customHeight="false" outlineLevel="0" collapsed="false">
      <c r="A24" s="0" t="n">
        <v>3</v>
      </c>
      <c r="B24" s="0" t="n">
        <v>7</v>
      </c>
      <c r="C24" s="13" t="n">
        <v>12.76</v>
      </c>
      <c r="D24" s="14" t="n">
        <f aca="false">MAX(0,C24-$I$5)</f>
        <v>10.26</v>
      </c>
      <c r="E24" s="14" t="n">
        <f aca="false">PI()*($I$4/2000)^2*D24*$I$6*1000</f>
        <v>54.254551930657</v>
      </c>
    </row>
    <row r="25" customFormat="false" ht="15" hidden="false" customHeight="false" outlineLevel="0" collapsed="false">
      <c r="A25" s="0" t="n">
        <v>4</v>
      </c>
      <c r="B25" s="0" t="n">
        <v>1</v>
      </c>
      <c r="C25" s="13" t="n">
        <v>22.01</v>
      </c>
      <c r="D25" s="14" t="n">
        <f aca="false">MAX(0,C25-$I$5)</f>
        <v>19.51</v>
      </c>
      <c r="E25" s="14" t="n">
        <f aca="false">PI()*($I$4/2000)^2*D25*$I$6*1000</f>
        <v>103.168256156639</v>
      </c>
    </row>
    <row r="26" customFormat="false" ht="15" hidden="false" customHeight="false" outlineLevel="0" collapsed="false">
      <c r="A26" s="0" t="n">
        <v>4</v>
      </c>
      <c r="B26" s="0" t="n">
        <v>2</v>
      </c>
      <c r="C26" s="13" t="n">
        <v>22.25</v>
      </c>
      <c r="D26" s="14" t="n">
        <f aca="false">MAX(0,C26-$I$5)</f>
        <v>19.75</v>
      </c>
      <c r="E26" s="14" t="n">
        <f aca="false">PI()*($I$4/2000)^2*D26*$I$6*1000</f>
        <v>104.437368482503</v>
      </c>
    </row>
    <row r="27" customFormat="false" ht="15" hidden="false" customHeight="false" outlineLevel="0" collapsed="false">
      <c r="A27" s="0" t="n">
        <v>4</v>
      </c>
      <c r="B27" s="0" t="n">
        <v>3</v>
      </c>
      <c r="C27" s="13" t="n">
        <v>22.78</v>
      </c>
      <c r="D27" s="14" t="n">
        <f aca="false">MAX(0,C27-$I$5)</f>
        <v>20.28</v>
      </c>
      <c r="E27" s="14" t="n">
        <f aca="false">PI()*($I$4/2000)^2*D27*$I$6*1000</f>
        <v>107.239991535451</v>
      </c>
    </row>
    <row r="28" customFormat="false" ht="15" hidden="false" customHeight="false" outlineLevel="0" collapsed="false">
      <c r="A28" s="0" t="n">
        <v>4</v>
      </c>
      <c r="B28" s="0" t="n">
        <v>4</v>
      </c>
      <c r="C28" s="13" t="n">
        <v>23.57</v>
      </c>
      <c r="D28" s="14" t="n">
        <f aca="false">MAX(0,C28-$I$5)</f>
        <v>21.07</v>
      </c>
      <c r="E28" s="14" t="n">
        <f aca="false">PI()*($I$4/2000)^2*D28*$I$6*1000</f>
        <v>111.417486274751</v>
      </c>
    </row>
    <row r="29" customFormat="false" ht="15" hidden="false" customHeight="false" outlineLevel="0" collapsed="false">
      <c r="A29" s="0" t="n">
        <v>4</v>
      </c>
      <c r="B29" s="0" t="n">
        <v>5</v>
      </c>
      <c r="C29" s="13" t="n">
        <v>24.62</v>
      </c>
      <c r="D29" s="14" t="n">
        <f aca="false">MAX(0,C29-$I$5)</f>
        <v>22.12</v>
      </c>
      <c r="E29" s="14" t="n">
        <f aca="false">PI()*($I$4/2000)^2*D29*$I$6*1000</f>
        <v>116.969852700403</v>
      </c>
    </row>
    <row r="30" customFormat="false" ht="15" hidden="false" customHeight="false" outlineLevel="0" collapsed="false">
      <c r="A30" s="0" t="n">
        <v>4</v>
      </c>
      <c r="B30" s="0" t="n">
        <v>6</v>
      </c>
      <c r="C30" s="13" t="n">
        <v>10.3</v>
      </c>
      <c r="D30" s="14" t="n">
        <f aca="false">MAX(0,C30-$I$5)</f>
        <v>7.8</v>
      </c>
      <c r="E30" s="14" t="n">
        <f aca="false">PI()*($I$4/2000)^2*D30*$I$6*1000</f>
        <v>41.246150590558</v>
      </c>
    </row>
    <row r="31" customFormat="false" ht="15" hidden="false" customHeight="false" outlineLevel="0" collapsed="false">
      <c r="A31" s="0" t="n">
        <v>4</v>
      </c>
      <c r="B31" s="0" t="n">
        <v>7</v>
      </c>
      <c r="C31" s="13" t="n">
        <v>12.7</v>
      </c>
      <c r="D31" s="14" t="n">
        <f aca="false">MAX(0,C31-$I$5)</f>
        <v>10.2</v>
      </c>
      <c r="E31" s="14" t="n">
        <f aca="false">PI()*($I$4/2000)^2*D31*$I$6*1000</f>
        <v>53.9372738491912</v>
      </c>
    </row>
    <row r="32" customFormat="false" ht="15" hidden="false" customHeight="false" outlineLevel="0" collapsed="false">
      <c r="A32" s="0" t="n">
        <v>5</v>
      </c>
      <c r="B32" s="0" t="n">
        <v>1</v>
      </c>
      <c r="C32" s="13" t="n">
        <v>22.02</v>
      </c>
      <c r="D32" s="14" t="n">
        <f aca="false">MAX(0,C32-$I$5)</f>
        <v>19.52</v>
      </c>
      <c r="E32" s="14" t="n">
        <f aca="false">PI()*($I$4/2000)^2*D32*$I$6*1000</f>
        <v>103.221135836884</v>
      </c>
    </row>
    <row r="33" customFormat="false" ht="15" hidden="false" customHeight="false" outlineLevel="0" collapsed="false">
      <c r="A33" s="0" t="n">
        <v>5</v>
      </c>
      <c r="B33" s="0" t="n">
        <v>2</v>
      </c>
      <c r="C33" s="13" t="n">
        <v>22.26</v>
      </c>
      <c r="D33" s="14" t="n">
        <f aca="false">MAX(0,C33-$I$5)</f>
        <v>19.76</v>
      </c>
      <c r="E33" s="14" t="n">
        <f aca="false">PI()*($I$4/2000)^2*D33*$I$6*1000</f>
        <v>104.490248162747</v>
      </c>
    </row>
    <row r="34" customFormat="false" ht="15" hidden="false" customHeight="false" outlineLevel="0" collapsed="false">
      <c r="A34" s="0" t="n">
        <v>5</v>
      </c>
      <c r="B34" s="0" t="n">
        <v>3</v>
      </c>
      <c r="C34" s="13" t="n">
        <v>22.78</v>
      </c>
      <c r="D34" s="14" t="n">
        <f aca="false">MAX(0,C34-$I$5)</f>
        <v>20.28</v>
      </c>
      <c r="E34" s="14" t="n">
        <f aca="false">PI()*($I$4/2000)^2*D34*$I$6*1000</f>
        <v>107.239991535451</v>
      </c>
    </row>
    <row r="35" customFormat="false" ht="15" hidden="false" customHeight="false" outlineLevel="0" collapsed="false">
      <c r="A35" s="0" t="n">
        <v>5</v>
      </c>
      <c r="B35" s="0" t="n">
        <v>4</v>
      </c>
      <c r="C35" s="13" t="n">
        <v>23.56</v>
      </c>
      <c r="D35" s="14" t="n">
        <f aca="false">MAX(0,C35-$I$5)</f>
        <v>21.06</v>
      </c>
      <c r="E35" s="14" t="n">
        <f aca="false">PI()*($I$4/2000)^2*D35*$I$6*1000</f>
        <v>111.364606594507</v>
      </c>
    </row>
    <row r="36" customFormat="false" ht="15" hidden="false" customHeight="false" outlineLevel="0" collapsed="false">
      <c r="A36" s="0" t="n">
        <v>5</v>
      </c>
      <c r="B36" s="0" t="n">
        <v>5</v>
      </c>
      <c r="C36" s="13" t="n">
        <v>24.57</v>
      </c>
      <c r="D36" s="14" t="n">
        <f aca="false">MAX(0,C36-$I$5)</f>
        <v>22.07</v>
      </c>
      <c r="E36" s="14" t="n">
        <f aca="false">PI()*($I$4/2000)^2*D36*$I$6*1000</f>
        <v>116.705454299181</v>
      </c>
    </row>
    <row r="37" customFormat="false" ht="15" hidden="false" customHeight="false" outlineLevel="0" collapsed="false">
      <c r="A37" s="0" t="n">
        <v>5</v>
      </c>
      <c r="B37" s="0" t="n">
        <v>6</v>
      </c>
      <c r="C37" s="13" t="n">
        <v>10.28</v>
      </c>
      <c r="D37" s="14" t="n">
        <f aca="false">MAX(0,C37-$I$5)</f>
        <v>7.78</v>
      </c>
      <c r="E37" s="14" t="n">
        <f aca="false">PI()*($I$4/2000)^2*D37*$I$6*1000</f>
        <v>41.1403912300694</v>
      </c>
    </row>
    <row r="38" customFormat="false" ht="15" hidden="false" customHeight="false" outlineLevel="0" collapsed="false">
      <c r="A38" s="0" t="n">
        <v>5</v>
      </c>
      <c r="B38" s="0" t="n">
        <v>7</v>
      </c>
      <c r="C38" s="13" t="n">
        <v>12.64</v>
      </c>
      <c r="D38" s="14" t="n">
        <f aca="false">MAX(0,C38-$I$5)</f>
        <v>10.14</v>
      </c>
      <c r="E38" s="14" t="n">
        <f aca="false">PI()*($I$4/2000)^2*D38*$I$6*1000</f>
        <v>53.6199957677254</v>
      </c>
    </row>
    <row r="39" customFormat="false" ht="15" hidden="false" customHeight="false" outlineLevel="0" collapsed="false">
      <c r="A39" s="0" t="n">
        <v>6</v>
      </c>
      <c r="B39" s="0" t="n">
        <v>1</v>
      </c>
      <c r="C39" s="13" t="n">
        <v>22.02</v>
      </c>
      <c r="D39" s="14" t="n">
        <f aca="false">MAX(0,C39-$I$5)</f>
        <v>19.52</v>
      </c>
      <c r="E39" s="14" t="n">
        <f aca="false">PI()*($I$4/2000)^2*D39*$I$6*1000</f>
        <v>103.221135836884</v>
      </c>
    </row>
    <row r="40" customFormat="false" ht="15" hidden="false" customHeight="false" outlineLevel="0" collapsed="false">
      <c r="A40" s="0" t="n">
        <v>6</v>
      </c>
      <c r="B40" s="0" t="n">
        <v>2</v>
      </c>
      <c r="C40" s="13" t="n">
        <v>22.26</v>
      </c>
      <c r="D40" s="14" t="n">
        <f aca="false">MAX(0,C40-$I$5)</f>
        <v>19.76</v>
      </c>
      <c r="E40" s="14" t="n">
        <f aca="false">PI()*($I$4/2000)^2*D40*$I$6*1000</f>
        <v>104.490248162747</v>
      </c>
    </row>
    <row r="41" customFormat="false" ht="15" hidden="false" customHeight="false" outlineLevel="0" collapsed="false">
      <c r="A41" s="0" t="n">
        <v>6</v>
      </c>
      <c r="B41" s="0" t="n">
        <v>3</v>
      </c>
      <c r="C41" s="13" t="n">
        <v>22.78</v>
      </c>
      <c r="D41" s="14" t="n">
        <f aca="false">MAX(0,C41-$I$5)</f>
        <v>20.28</v>
      </c>
      <c r="E41" s="14" t="n">
        <f aca="false">PI()*($I$4/2000)^2*D41*$I$6*1000</f>
        <v>107.239991535451</v>
      </c>
    </row>
    <row r="42" customFormat="false" ht="15" hidden="false" customHeight="false" outlineLevel="0" collapsed="false">
      <c r="A42" s="0" t="n">
        <v>6</v>
      </c>
      <c r="B42" s="0" t="n">
        <v>4</v>
      </c>
      <c r="C42" s="13" t="n">
        <v>23.54</v>
      </c>
      <c r="D42" s="14" t="n">
        <f aca="false">MAX(0,C42-$I$5)</f>
        <v>21.04</v>
      </c>
      <c r="E42" s="14" t="n">
        <f aca="false">PI()*($I$4/2000)^2*D42*$I$6*1000</f>
        <v>111.258847234018</v>
      </c>
    </row>
    <row r="43" customFormat="false" ht="15" hidden="false" customHeight="false" outlineLevel="0" collapsed="false">
      <c r="A43" s="0" t="n">
        <v>6</v>
      </c>
      <c r="B43" s="0" t="n">
        <v>5</v>
      </c>
      <c r="C43" s="13" t="n">
        <v>24.53</v>
      </c>
      <c r="D43" s="14" t="n">
        <f aca="false">MAX(0,C43-$I$5)</f>
        <v>22.03</v>
      </c>
      <c r="E43" s="14" t="n">
        <f aca="false">PI()*($I$4/2000)^2*D43*$I$6*1000</f>
        <v>116.493935578204</v>
      </c>
    </row>
    <row r="44" customFormat="false" ht="15" hidden="false" customHeight="false" outlineLevel="0" collapsed="false">
      <c r="A44" s="0" t="n">
        <v>6</v>
      </c>
      <c r="B44" s="0" t="n">
        <v>6</v>
      </c>
      <c r="C44" s="13" t="n">
        <v>10.26</v>
      </c>
      <c r="D44" s="14" t="n">
        <f aca="false">MAX(0,C44-$I$5)</f>
        <v>7.76</v>
      </c>
      <c r="E44" s="14" t="n">
        <f aca="false">PI()*($I$4/2000)^2*D44*$I$6*1000</f>
        <v>41.0346318695808</v>
      </c>
    </row>
    <row r="45" customFormat="false" ht="15" hidden="false" customHeight="false" outlineLevel="0" collapsed="false">
      <c r="A45" s="0" t="n">
        <v>6</v>
      </c>
      <c r="B45" s="0" t="n">
        <v>7</v>
      </c>
      <c r="C45" s="13" t="n">
        <v>12.58</v>
      </c>
      <c r="D45" s="14" t="n">
        <f aca="false">MAX(0,C45-$I$5)</f>
        <v>10.08</v>
      </c>
      <c r="E45" s="14" t="n">
        <f aca="false">PI()*($I$4/2000)^2*D45*$I$6*1000</f>
        <v>53.3027176862595</v>
      </c>
    </row>
    <row r="46" customFormat="false" ht="15" hidden="false" customHeight="false" outlineLevel="0" collapsed="false">
      <c r="A46" s="0" t="n">
        <v>7</v>
      </c>
      <c r="B46" s="0" t="n">
        <v>1</v>
      </c>
      <c r="C46" s="13" t="n">
        <v>22.02</v>
      </c>
      <c r="D46" s="14" t="n">
        <f aca="false">MAX(0,C46-$I$5)</f>
        <v>19.52</v>
      </c>
      <c r="E46" s="14" t="n">
        <f aca="false">PI()*($I$4/2000)^2*D46*$I$6*1000</f>
        <v>103.221135836884</v>
      </c>
    </row>
    <row r="47" customFormat="false" ht="15" hidden="false" customHeight="false" outlineLevel="0" collapsed="false">
      <c r="A47" s="0" t="n">
        <v>7</v>
      </c>
      <c r="B47" s="0" t="n">
        <v>2</v>
      </c>
      <c r="C47" s="13" t="n">
        <v>22.27</v>
      </c>
      <c r="D47" s="14" t="n">
        <f aca="false">MAX(0,C47-$I$5)</f>
        <v>19.77</v>
      </c>
      <c r="E47" s="14" t="n">
        <f aca="false">PI()*($I$4/2000)^2*D47*$I$6*1000</f>
        <v>104.543127842991</v>
      </c>
    </row>
    <row r="48" customFormat="false" ht="15" hidden="false" customHeight="false" outlineLevel="0" collapsed="false">
      <c r="A48" s="0" t="n">
        <v>7</v>
      </c>
      <c r="B48" s="0" t="n">
        <v>3</v>
      </c>
      <c r="C48" s="13" t="n">
        <v>22.78</v>
      </c>
      <c r="D48" s="14" t="n">
        <f aca="false">MAX(0,C48-$I$5)</f>
        <v>20.28</v>
      </c>
      <c r="E48" s="14" t="n">
        <f aca="false">PI()*($I$4/2000)^2*D48*$I$6*1000</f>
        <v>107.239991535451</v>
      </c>
    </row>
    <row r="49" customFormat="false" ht="15" hidden="false" customHeight="false" outlineLevel="0" collapsed="false">
      <c r="A49" s="0" t="n">
        <v>7</v>
      </c>
      <c r="B49" s="0" t="n">
        <v>4</v>
      </c>
      <c r="C49" s="13" t="n">
        <v>23.52</v>
      </c>
      <c r="D49" s="14" t="n">
        <f aca="false">MAX(0,C49-$I$5)</f>
        <v>21.02</v>
      </c>
      <c r="E49" s="14" t="n">
        <f aca="false">PI()*($I$4/2000)^2*D49*$I$6*1000</f>
        <v>111.153087873529</v>
      </c>
    </row>
    <row r="50" customFormat="false" ht="15" hidden="false" customHeight="false" outlineLevel="0" collapsed="false">
      <c r="A50" s="0" t="n">
        <v>7</v>
      </c>
      <c r="B50" s="0" t="n">
        <v>5</v>
      </c>
      <c r="C50" s="13" t="n">
        <v>24.49</v>
      </c>
      <c r="D50" s="14" t="n">
        <f aca="false">MAX(0,C50-$I$5)</f>
        <v>21.99</v>
      </c>
      <c r="E50" s="14" t="n">
        <f aca="false">PI()*($I$4/2000)^2*D50*$I$6*1000</f>
        <v>116.282416857227</v>
      </c>
    </row>
    <row r="51" customFormat="false" ht="15" hidden="false" customHeight="false" outlineLevel="0" collapsed="false">
      <c r="A51" s="0" t="n">
        <v>7</v>
      </c>
      <c r="B51" s="0" t="n">
        <v>6</v>
      </c>
      <c r="C51" s="13" t="n">
        <v>10.24</v>
      </c>
      <c r="D51" s="14" t="n">
        <f aca="false">MAX(0,C51-$I$5)</f>
        <v>7.74</v>
      </c>
      <c r="E51" s="14" t="n">
        <f aca="false">PI()*($I$4/2000)^2*D51*$I$6*1000</f>
        <v>40.9288725090921</v>
      </c>
    </row>
    <row r="52" customFormat="false" ht="15" hidden="false" customHeight="false" outlineLevel="0" collapsed="false">
      <c r="A52" s="0" t="n">
        <v>7</v>
      </c>
      <c r="B52" s="0" t="n">
        <v>7</v>
      </c>
      <c r="C52" s="13" t="n">
        <v>12.53</v>
      </c>
      <c r="D52" s="14" t="n">
        <f aca="false">MAX(0,C52-$I$5)</f>
        <v>10.03</v>
      </c>
      <c r="E52" s="14" t="n">
        <f aca="false">PI()*($I$4/2000)^2*D52*$I$6*1000</f>
        <v>53.038319285038</v>
      </c>
    </row>
    <row r="53" customFormat="false" ht="15" hidden="false" customHeight="false" outlineLevel="0" collapsed="false">
      <c r="A53" s="0" t="n">
        <v>8</v>
      </c>
      <c r="B53" s="0" t="n">
        <v>1</v>
      </c>
      <c r="C53" s="13" t="n">
        <v>22.03</v>
      </c>
      <c r="D53" s="14" t="n">
        <f aca="false">MAX(0,C53-$I$5)</f>
        <v>19.53</v>
      </c>
      <c r="E53" s="14" t="n">
        <f aca="false">PI()*($I$4/2000)^2*D53*$I$6*1000</f>
        <v>103.274015517128</v>
      </c>
    </row>
    <row r="54" customFormat="false" ht="15" hidden="false" customHeight="false" outlineLevel="0" collapsed="false">
      <c r="A54" s="0" t="n">
        <v>8</v>
      </c>
      <c r="B54" s="0" t="n">
        <v>2</v>
      </c>
      <c r="C54" s="13" t="n">
        <v>22.28</v>
      </c>
      <c r="D54" s="14" t="n">
        <f aca="false">MAX(0,C54-$I$5)</f>
        <v>19.78</v>
      </c>
      <c r="E54" s="14" t="n">
        <f aca="false">PI()*($I$4/2000)^2*D54*$I$6*1000</f>
        <v>104.596007523235</v>
      </c>
    </row>
    <row r="55" customFormat="false" ht="15" hidden="false" customHeight="false" outlineLevel="0" collapsed="false">
      <c r="A55" s="0" t="n">
        <v>8</v>
      </c>
      <c r="B55" s="0" t="n">
        <v>3</v>
      </c>
      <c r="C55" s="13" t="n">
        <v>22.78</v>
      </c>
      <c r="D55" s="14" t="n">
        <f aca="false">MAX(0,C55-$I$5)</f>
        <v>20.28</v>
      </c>
      <c r="E55" s="14" t="n">
        <f aca="false">PI()*($I$4/2000)^2*D55*$I$6*1000</f>
        <v>107.239991535451</v>
      </c>
    </row>
    <row r="56" customFormat="false" ht="15" hidden="false" customHeight="false" outlineLevel="0" collapsed="false">
      <c r="A56" s="0" t="n">
        <v>8</v>
      </c>
      <c r="B56" s="0" t="n">
        <v>4</v>
      </c>
      <c r="C56" s="13" t="n">
        <v>23.51</v>
      </c>
      <c r="D56" s="14" t="n">
        <f aca="false">MAX(0,C56-$I$5)</f>
        <v>21.01</v>
      </c>
      <c r="E56" s="14" t="n">
        <f aca="false">PI()*($I$4/2000)^2*D56*$I$6*1000</f>
        <v>111.100208193285</v>
      </c>
    </row>
    <row r="57" customFormat="false" ht="15" hidden="false" customHeight="false" outlineLevel="0" collapsed="false">
      <c r="A57" s="0" t="n">
        <v>8</v>
      </c>
      <c r="B57" s="0" t="n">
        <v>5</v>
      </c>
      <c r="C57" s="13" t="n">
        <v>24.45</v>
      </c>
      <c r="D57" s="14" t="n">
        <f aca="false">MAX(0,C57-$I$5)</f>
        <v>21.95</v>
      </c>
      <c r="E57" s="14" t="n">
        <f aca="false">PI()*($I$4/2000)^2*D57*$I$6*1000</f>
        <v>116.07089813625</v>
      </c>
    </row>
    <row r="58" customFormat="false" ht="15" hidden="false" customHeight="false" outlineLevel="0" collapsed="false">
      <c r="A58" s="0" t="n">
        <v>8</v>
      </c>
      <c r="B58" s="0" t="n">
        <v>6</v>
      </c>
      <c r="C58" s="13" t="n">
        <v>10.22</v>
      </c>
      <c r="D58" s="14" t="n">
        <f aca="false">MAX(0,C58-$I$5)</f>
        <v>7.72</v>
      </c>
      <c r="E58" s="14" t="n">
        <f aca="false">PI()*($I$4/2000)^2*D58*$I$6*1000</f>
        <v>40.8231131486035</v>
      </c>
    </row>
    <row r="59" customFormat="false" ht="15" hidden="false" customHeight="false" outlineLevel="0" collapsed="false">
      <c r="A59" s="0" t="n">
        <v>8</v>
      </c>
      <c r="B59" s="0" t="n">
        <v>7</v>
      </c>
      <c r="C59" s="13" t="n">
        <v>12.47</v>
      </c>
      <c r="D59" s="14" t="n">
        <f aca="false">MAX(0,C59-$I$5)</f>
        <v>9.97</v>
      </c>
      <c r="E59" s="14" t="n">
        <f aca="false">PI()*($I$4/2000)^2*D59*$I$6*1000</f>
        <v>52.7210412035722</v>
      </c>
    </row>
    <row r="60" customFormat="false" ht="15" hidden="false" customHeight="false" outlineLevel="0" collapsed="false">
      <c r="A60" s="0" t="n">
        <v>9</v>
      </c>
      <c r="B60" s="0" t="n">
        <v>1</v>
      </c>
      <c r="C60" s="13" t="n">
        <v>22.03</v>
      </c>
      <c r="D60" s="14" t="n">
        <f aca="false">MAX(0,C60-$I$5)</f>
        <v>19.53</v>
      </c>
      <c r="E60" s="14" t="n">
        <f aca="false">PI()*($I$4/2000)^2*D60*$I$6*1000</f>
        <v>103.274015517128</v>
      </c>
    </row>
    <row r="61" customFormat="false" ht="15" hidden="false" customHeight="false" outlineLevel="0" collapsed="false">
      <c r="A61" s="0" t="n">
        <v>9</v>
      </c>
      <c r="B61" s="0" t="n">
        <v>2</v>
      </c>
      <c r="C61" s="13" t="n">
        <v>22.29</v>
      </c>
      <c r="D61" s="14" t="n">
        <f aca="false">MAX(0,C61-$I$5)</f>
        <v>19.79</v>
      </c>
      <c r="E61" s="14" t="n">
        <f aca="false">PI()*($I$4/2000)^2*D61*$I$6*1000</f>
        <v>104.64888720348</v>
      </c>
    </row>
    <row r="62" customFormat="false" ht="15" hidden="false" customHeight="false" outlineLevel="0" collapsed="false">
      <c r="A62" s="0" t="n">
        <v>9</v>
      </c>
      <c r="B62" s="0" t="n">
        <v>3</v>
      </c>
      <c r="C62" s="13" t="n">
        <v>22.78</v>
      </c>
      <c r="D62" s="14" t="n">
        <f aca="false">MAX(0,C62-$I$5)</f>
        <v>20.28</v>
      </c>
      <c r="E62" s="14" t="n">
        <f aca="false">PI()*($I$4/2000)^2*D62*$I$6*1000</f>
        <v>107.239991535451</v>
      </c>
    </row>
    <row r="63" customFormat="false" ht="15" hidden="false" customHeight="false" outlineLevel="0" collapsed="false">
      <c r="A63" s="0" t="n">
        <v>9</v>
      </c>
      <c r="B63" s="0" t="n">
        <v>4</v>
      </c>
      <c r="C63" s="13" t="n">
        <v>23.49</v>
      </c>
      <c r="D63" s="14" t="n">
        <f aca="false">MAX(0,C63-$I$5)</f>
        <v>20.99</v>
      </c>
      <c r="E63" s="14" t="n">
        <f aca="false">PI()*($I$4/2000)^2*D63*$I$6*1000</f>
        <v>110.994448832796</v>
      </c>
    </row>
    <row r="64" customFormat="false" ht="15" hidden="false" customHeight="false" outlineLevel="0" collapsed="false">
      <c r="A64" s="0" t="n">
        <v>9</v>
      </c>
      <c r="B64" s="0" t="n">
        <v>5</v>
      </c>
      <c r="C64" s="13" t="n">
        <v>24.41</v>
      </c>
      <c r="D64" s="14" t="n">
        <f aca="false">MAX(0,C64-$I$5)</f>
        <v>21.91</v>
      </c>
      <c r="E64" s="14" t="n">
        <f aca="false">PI()*($I$4/2000)^2*D64*$I$6*1000</f>
        <v>115.859379415272</v>
      </c>
    </row>
    <row r="65" customFormat="false" ht="15" hidden="false" customHeight="false" outlineLevel="0" collapsed="false">
      <c r="A65" s="0" t="n">
        <v>9</v>
      </c>
      <c r="B65" s="0" t="n">
        <v>6</v>
      </c>
      <c r="C65" s="13" t="n">
        <v>10.2</v>
      </c>
      <c r="D65" s="14" t="n">
        <f aca="false">MAX(0,C65-$I$5)</f>
        <v>7.7</v>
      </c>
      <c r="E65" s="14" t="n">
        <f aca="false">PI()*($I$4/2000)^2*D65*$I$6*1000</f>
        <v>40.7173537881149</v>
      </c>
    </row>
    <row r="66" customFormat="false" ht="15" hidden="false" customHeight="false" outlineLevel="0" collapsed="false">
      <c r="A66" s="0" t="n">
        <v>9</v>
      </c>
      <c r="B66" s="0" t="n">
        <v>7</v>
      </c>
      <c r="C66" s="13" t="n">
        <v>12.42</v>
      </c>
      <c r="D66" s="14" t="n">
        <f aca="false">MAX(0,C66-$I$5)</f>
        <v>9.92</v>
      </c>
      <c r="E66" s="14" t="n">
        <f aca="false">PI()*($I$4/2000)^2*D66*$I$6*1000</f>
        <v>52.4566428023506</v>
      </c>
    </row>
    <row r="67" customFormat="false" ht="15" hidden="false" customHeight="false" outlineLevel="0" collapsed="false">
      <c r="A67" s="0" t="n">
        <v>10</v>
      </c>
      <c r="B67" s="0" t="n">
        <v>1</v>
      </c>
      <c r="C67" s="13" t="n">
        <v>22.04</v>
      </c>
      <c r="D67" s="14" t="n">
        <f aca="false">MAX(0,C67-$I$5)</f>
        <v>19.54</v>
      </c>
      <c r="E67" s="14" t="n">
        <f aca="false">PI()*($I$4/2000)^2*D67*$I$6*1000</f>
        <v>103.326895197372</v>
      </c>
    </row>
    <row r="68" customFormat="false" ht="15" hidden="false" customHeight="false" outlineLevel="0" collapsed="false">
      <c r="A68" s="0" t="n">
        <v>10</v>
      </c>
      <c r="B68" s="0" t="n">
        <v>2</v>
      </c>
      <c r="C68" s="13" t="n">
        <v>22.29</v>
      </c>
      <c r="D68" s="14" t="n">
        <f aca="false">MAX(0,C68-$I$5)</f>
        <v>19.79</v>
      </c>
      <c r="E68" s="14" t="n">
        <f aca="false">PI()*($I$4/2000)^2*D68*$I$6*1000</f>
        <v>104.64888720348</v>
      </c>
    </row>
    <row r="69" customFormat="false" ht="15" hidden="false" customHeight="false" outlineLevel="0" collapsed="false">
      <c r="A69" s="0" t="n">
        <v>10</v>
      </c>
      <c r="B69" s="0" t="n">
        <v>3</v>
      </c>
      <c r="C69" s="13" t="n">
        <v>22.78</v>
      </c>
      <c r="D69" s="14" t="n">
        <f aca="false">MAX(0,C69-$I$5)</f>
        <v>20.28</v>
      </c>
      <c r="E69" s="14" t="n">
        <f aca="false">PI()*($I$4/2000)^2*D69*$I$6*1000</f>
        <v>107.239991535451</v>
      </c>
    </row>
    <row r="70" customFormat="false" ht="15" hidden="false" customHeight="false" outlineLevel="0" collapsed="false">
      <c r="A70" s="0" t="n">
        <v>10</v>
      </c>
      <c r="B70" s="0" t="n">
        <v>4</v>
      </c>
      <c r="C70" s="13" t="n">
        <v>23.47</v>
      </c>
      <c r="D70" s="14" t="n">
        <f aca="false">MAX(0,C70-$I$5)</f>
        <v>20.97</v>
      </c>
      <c r="E70" s="14" t="n">
        <f aca="false">PI()*($I$4/2000)^2*D70*$I$6*1000</f>
        <v>110.888689472308</v>
      </c>
    </row>
    <row r="71" customFormat="false" ht="15" hidden="false" customHeight="false" outlineLevel="0" collapsed="false">
      <c r="A71" s="0" t="n">
        <v>10</v>
      </c>
      <c r="B71" s="0" t="n">
        <v>5</v>
      </c>
      <c r="C71" s="13" t="n">
        <v>24.37</v>
      </c>
      <c r="D71" s="14" t="n">
        <f aca="false">MAX(0,C71-$I$5)</f>
        <v>21.87</v>
      </c>
      <c r="E71" s="14" t="n">
        <f aca="false">PI()*($I$4/2000)^2*D71*$I$6*1000</f>
        <v>115.647860694295</v>
      </c>
    </row>
    <row r="72" customFormat="false" ht="15" hidden="false" customHeight="false" outlineLevel="0" collapsed="false">
      <c r="A72" s="0" t="n">
        <v>10</v>
      </c>
      <c r="B72" s="0" t="n">
        <v>6</v>
      </c>
      <c r="C72" s="13" t="n">
        <v>10.18</v>
      </c>
      <c r="D72" s="14" t="n">
        <f aca="false">MAX(0,C72-$I$5)</f>
        <v>7.68</v>
      </c>
      <c r="E72" s="14" t="n">
        <f aca="false">PI()*($I$4/2000)^2*D72*$I$6*1000</f>
        <v>40.6115944276263</v>
      </c>
    </row>
    <row r="73" customFormat="false" ht="15" hidden="false" customHeight="false" outlineLevel="0" collapsed="false">
      <c r="A73" s="0" t="n">
        <v>10</v>
      </c>
      <c r="B73" s="0" t="n">
        <v>7</v>
      </c>
      <c r="C73" s="13" t="n">
        <v>12.36</v>
      </c>
      <c r="D73" s="14" t="n">
        <f aca="false">MAX(0,C73-$I$5)</f>
        <v>9.86</v>
      </c>
      <c r="E73" s="14" t="n">
        <f aca="false">PI()*($I$4/2000)^2*D73*$I$6*1000</f>
        <v>52.1393647208848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5" min="5" style="0" width="34"/>
    <col collapsed="false" customWidth="true" hidden="false" outlineLevel="0" max="6" min="6" style="0" width="14"/>
  </cols>
  <sheetData>
    <row r="1" customFormat="false" ht="16.15" hidden="false" customHeight="false" outlineLevel="0" collapsed="false">
      <c r="A1" s="1" t="s">
        <v>141</v>
      </c>
    </row>
    <row r="3" customFormat="false" ht="15" hidden="false" customHeight="false" outlineLevel="0" collapsed="false">
      <c r="A3" s="4" t="s">
        <v>142</v>
      </c>
      <c r="B3" s="4" t="s">
        <v>143</v>
      </c>
      <c r="C3" s="4" t="s">
        <v>33</v>
      </c>
      <c r="E3" s="3" t="s">
        <v>144</v>
      </c>
    </row>
    <row r="4" customFormat="false" ht="15" hidden="false" customHeight="false" outlineLevel="0" collapsed="false">
      <c r="A4" s="0" t="s">
        <v>145</v>
      </c>
      <c r="B4" s="0" t="n">
        <v>937</v>
      </c>
      <c r="C4" s="26" t="n">
        <v>3146.9</v>
      </c>
      <c r="E4" s="2" t="s">
        <v>146</v>
      </c>
      <c r="F4" s="7" t="n">
        <f aca="false">SUMIF(A4:A34,"Decline*",C4:C34)</f>
        <v>3146.9</v>
      </c>
    </row>
    <row r="5" customFormat="false" ht="15" hidden="false" customHeight="false" outlineLevel="0" collapsed="false">
      <c r="A5" s="0" t="s">
        <v>147</v>
      </c>
      <c r="B5" s="0" t="n">
        <v>850</v>
      </c>
      <c r="C5" s="26" t="n">
        <v>420</v>
      </c>
      <c r="E5" s="2" t="s">
        <v>148</v>
      </c>
      <c r="F5" s="7" t="n">
        <f aca="false">SUMIF(A4:A34,"OreDrive*",C4:C34)</f>
        <v>6300</v>
      </c>
    </row>
    <row r="6" customFormat="false" ht="15" hidden="false" customHeight="false" outlineLevel="0" collapsed="false">
      <c r="A6" s="0" t="s">
        <v>149</v>
      </c>
      <c r="B6" s="0" t="n">
        <v>850</v>
      </c>
      <c r="C6" s="26" t="n">
        <v>89.5</v>
      </c>
      <c r="E6" s="2" t="s">
        <v>150</v>
      </c>
      <c r="F6" s="7" t="n">
        <f aca="false">SUMIF(A4:A34,"Crosscut*",C4:C34)</f>
        <v>1252.8</v>
      </c>
    </row>
    <row r="7" customFormat="false" ht="15" hidden="false" customHeight="false" outlineLevel="0" collapsed="false">
      <c r="A7" s="0" t="s">
        <v>151</v>
      </c>
      <c r="B7" s="0" t="n">
        <v>825</v>
      </c>
      <c r="C7" s="26" t="n">
        <v>420</v>
      </c>
      <c r="E7" s="3" t="s">
        <v>152</v>
      </c>
      <c r="F7" s="8" t="n">
        <f aca="false">SUM(F4:F6)</f>
        <v>10699.7</v>
      </c>
    </row>
    <row r="8" customFormat="false" ht="15" hidden="false" customHeight="false" outlineLevel="0" collapsed="false">
      <c r="A8" s="0" t="s">
        <v>153</v>
      </c>
      <c r="B8" s="0" t="n">
        <v>825</v>
      </c>
      <c r="C8" s="26" t="n">
        <v>88.7</v>
      </c>
    </row>
    <row r="9" customFormat="false" ht="15" hidden="false" customHeight="false" outlineLevel="0" collapsed="false">
      <c r="A9" s="0" t="s">
        <v>154</v>
      </c>
      <c r="B9" s="0" t="n">
        <v>800</v>
      </c>
      <c r="C9" s="26" t="n">
        <v>420</v>
      </c>
      <c r="E9" s="2" t="s">
        <v>155</v>
      </c>
      <c r="F9" s="5" t="n">
        <v>2</v>
      </c>
    </row>
    <row r="10" customFormat="false" ht="15" hidden="false" customHeight="false" outlineLevel="0" collapsed="false">
      <c r="A10" s="0" t="s">
        <v>156</v>
      </c>
      <c r="B10" s="0" t="n">
        <v>800</v>
      </c>
      <c r="C10" s="26" t="n">
        <v>87.9</v>
      </c>
      <c r="E10" s="2" t="s">
        <v>157</v>
      </c>
      <c r="F10" s="5" t="n">
        <v>160</v>
      </c>
    </row>
    <row r="11" customFormat="false" ht="15" hidden="false" customHeight="false" outlineLevel="0" collapsed="false">
      <c r="A11" s="0" t="s">
        <v>158</v>
      </c>
      <c r="B11" s="0" t="n">
        <v>775</v>
      </c>
      <c r="C11" s="26" t="n">
        <v>420</v>
      </c>
      <c r="E11" s="3" t="s">
        <v>159</v>
      </c>
      <c r="F11" s="11" t="n">
        <f aca="false">F7/(F9*F10)</f>
        <v>33.4365625</v>
      </c>
    </row>
    <row r="12" customFormat="false" ht="15" hidden="false" customHeight="false" outlineLevel="0" collapsed="false">
      <c r="A12" s="0" t="s">
        <v>160</v>
      </c>
      <c r="B12" s="0" t="n">
        <v>775</v>
      </c>
      <c r="C12" s="26" t="n">
        <v>87.1</v>
      </c>
      <c r="E12" s="2" t="s">
        <v>161</v>
      </c>
      <c r="F12" s="27" t="n">
        <v>4200</v>
      </c>
    </row>
    <row r="13" customFormat="false" ht="15" hidden="false" customHeight="false" outlineLevel="0" collapsed="false">
      <c r="A13" s="0" t="s">
        <v>162</v>
      </c>
      <c r="B13" s="0" t="n">
        <v>750</v>
      </c>
      <c r="C13" s="26" t="n">
        <v>420</v>
      </c>
      <c r="E13" s="3" t="s">
        <v>163</v>
      </c>
      <c r="F13" s="28" t="n">
        <f aca="false">F7*F12/1000000</f>
        <v>44.93874</v>
      </c>
    </row>
    <row r="14" customFormat="false" ht="15" hidden="false" customHeight="false" outlineLevel="0" collapsed="false">
      <c r="A14" s="0" t="s">
        <v>164</v>
      </c>
      <c r="B14" s="0" t="n">
        <v>750</v>
      </c>
      <c r="C14" s="26" t="n">
        <v>86.2</v>
      </c>
    </row>
    <row r="15" customFormat="false" ht="15" hidden="false" customHeight="false" outlineLevel="0" collapsed="false">
      <c r="A15" s="0" t="s">
        <v>165</v>
      </c>
      <c r="B15" s="0" t="n">
        <v>725</v>
      </c>
      <c r="C15" s="26" t="n">
        <v>420</v>
      </c>
    </row>
    <row r="16" customFormat="false" ht="15" hidden="false" customHeight="false" outlineLevel="0" collapsed="false">
      <c r="A16" s="0" t="s">
        <v>166</v>
      </c>
      <c r="B16" s="0" t="n">
        <v>725</v>
      </c>
      <c r="C16" s="26" t="n">
        <v>85.4</v>
      </c>
    </row>
    <row r="17" customFormat="false" ht="15" hidden="false" customHeight="false" outlineLevel="0" collapsed="false">
      <c r="A17" s="0" t="s">
        <v>167</v>
      </c>
      <c r="B17" s="0" t="n">
        <v>700</v>
      </c>
      <c r="C17" s="26" t="n">
        <v>420</v>
      </c>
    </row>
    <row r="18" customFormat="false" ht="15" hidden="false" customHeight="false" outlineLevel="0" collapsed="false">
      <c r="A18" s="0" t="s">
        <v>168</v>
      </c>
      <c r="B18" s="0" t="n">
        <v>700</v>
      </c>
      <c r="C18" s="26" t="n">
        <v>84.5</v>
      </c>
    </row>
    <row r="19" customFormat="false" ht="15" hidden="false" customHeight="false" outlineLevel="0" collapsed="false">
      <c r="A19" s="0" t="s">
        <v>169</v>
      </c>
      <c r="B19" s="0" t="n">
        <v>675</v>
      </c>
      <c r="C19" s="26" t="n">
        <v>420</v>
      </c>
    </row>
    <row r="20" customFormat="false" ht="15" hidden="false" customHeight="false" outlineLevel="0" collapsed="false">
      <c r="A20" s="0" t="s">
        <v>170</v>
      </c>
      <c r="B20" s="0" t="n">
        <v>675</v>
      </c>
      <c r="C20" s="26" t="n">
        <v>83.6</v>
      </c>
    </row>
    <row r="21" customFormat="false" ht="15" hidden="false" customHeight="false" outlineLevel="0" collapsed="false">
      <c r="A21" s="0" t="s">
        <v>171</v>
      </c>
      <c r="B21" s="0" t="n">
        <v>650</v>
      </c>
      <c r="C21" s="26" t="n">
        <v>420</v>
      </c>
    </row>
    <row r="22" customFormat="false" ht="15" hidden="false" customHeight="false" outlineLevel="0" collapsed="false">
      <c r="A22" s="0" t="s">
        <v>172</v>
      </c>
      <c r="B22" s="0" t="n">
        <v>650</v>
      </c>
      <c r="C22" s="26" t="n">
        <v>82.7</v>
      </c>
    </row>
    <row r="23" customFormat="false" ht="15" hidden="false" customHeight="false" outlineLevel="0" collapsed="false">
      <c r="A23" s="0" t="s">
        <v>173</v>
      </c>
      <c r="B23" s="0" t="n">
        <v>625</v>
      </c>
      <c r="C23" s="26" t="n">
        <v>420</v>
      </c>
    </row>
    <row r="24" customFormat="false" ht="15" hidden="false" customHeight="false" outlineLevel="0" collapsed="false">
      <c r="A24" s="0" t="s">
        <v>174</v>
      </c>
      <c r="B24" s="0" t="n">
        <v>625</v>
      </c>
      <c r="C24" s="26" t="n">
        <v>81.8</v>
      </c>
    </row>
    <row r="25" customFormat="false" ht="15" hidden="false" customHeight="false" outlineLevel="0" collapsed="false">
      <c r="A25" s="0" t="s">
        <v>175</v>
      </c>
      <c r="B25" s="0" t="n">
        <v>600</v>
      </c>
      <c r="C25" s="26" t="n">
        <v>420</v>
      </c>
    </row>
    <row r="26" customFormat="false" ht="15" hidden="false" customHeight="false" outlineLevel="0" collapsed="false">
      <c r="A26" s="0" t="s">
        <v>176</v>
      </c>
      <c r="B26" s="0" t="n">
        <v>600</v>
      </c>
      <c r="C26" s="26" t="n">
        <v>80.9</v>
      </c>
    </row>
    <row r="27" customFormat="false" ht="15" hidden="false" customHeight="false" outlineLevel="0" collapsed="false">
      <c r="A27" s="0" t="s">
        <v>177</v>
      </c>
      <c r="B27" s="0" t="n">
        <v>575</v>
      </c>
      <c r="C27" s="26" t="n">
        <v>420</v>
      </c>
    </row>
    <row r="28" customFormat="false" ht="15" hidden="false" customHeight="false" outlineLevel="0" collapsed="false">
      <c r="A28" s="0" t="s">
        <v>178</v>
      </c>
      <c r="B28" s="0" t="n">
        <v>575</v>
      </c>
      <c r="C28" s="26" t="n">
        <v>80</v>
      </c>
    </row>
    <row r="29" customFormat="false" ht="15" hidden="false" customHeight="false" outlineLevel="0" collapsed="false">
      <c r="A29" s="0" t="s">
        <v>179</v>
      </c>
      <c r="B29" s="0" t="n">
        <v>550</v>
      </c>
      <c r="C29" s="26" t="n">
        <v>420</v>
      </c>
    </row>
    <row r="30" customFormat="false" ht="15" hidden="false" customHeight="false" outlineLevel="0" collapsed="false">
      <c r="A30" s="0" t="s">
        <v>180</v>
      </c>
      <c r="B30" s="0" t="n">
        <v>550</v>
      </c>
      <c r="C30" s="26" t="n">
        <v>79.1</v>
      </c>
    </row>
    <row r="31" customFormat="false" ht="15" hidden="false" customHeight="false" outlineLevel="0" collapsed="false">
      <c r="A31" s="0" t="s">
        <v>181</v>
      </c>
      <c r="B31" s="0" t="n">
        <v>525</v>
      </c>
      <c r="C31" s="26" t="n">
        <v>420</v>
      </c>
    </row>
    <row r="32" customFormat="false" ht="15" hidden="false" customHeight="false" outlineLevel="0" collapsed="false">
      <c r="A32" s="0" t="s">
        <v>182</v>
      </c>
      <c r="B32" s="0" t="n">
        <v>525</v>
      </c>
      <c r="C32" s="26" t="n">
        <v>78.2</v>
      </c>
    </row>
    <row r="33" customFormat="false" ht="15" hidden="false" customHeight="false" outlineLevel="0" collapsed="false">
      <c r="A33" s="0" t="s">
        <v>183</v>
      </c>
      <c r="B33" s="0" t="n">
        <v>500</v>
      </c>
      <c r="C33" s="26" t="n">
        <v>420</v>
      </c>
    </row>
    <row r="34" customFormat="false" ht="15" hidden="false" customHeight="false" outlineLevel="0" collapsed="false">
      <c r="A34" s="0" t="s">
        <v>184</v>
      </c>
      <c r="B34" s="0" t="n">
        <v>500</v>
      </c>
      <c r="C34" s="26" t="n">
        <v>77.2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0"/>
    <col collapsed="false" customWidth="true" hidden="false" outlineLevel="0" max="5" min="4" style="0" width="12"/>
    <col collapsed="false" customWidth="true" hidden="false" outlineLevel="0" max="7" min="6" style="0" width="14"/>
    <col collapsed="false" customWidth="true" hidden="false" outlineLevel="0" max="8" min="8" style="0" width="4"/>
    <col collapsed="false" customWidth="true" hidden="false" outlineLevel="0" max="9" min="9" style="0" width="12"/>
    <col collapsed="false" customWidth="true" hidden="false" outlineLevel="0" max="11" min="10" style="0" width="16"/>
  </cols>
  <sheetData>
    <row r="1" customFormat="false" ht="16.15" hidden="false" customHeight="false" outlineLevel="0" collapsed="false">
      <c r="A1" s="1" t="s">
        <v>185</v>
      </c>
    </row>
    <row r="3" customFormat="false" ht="15" hidden="false" customHeight="false" outlineLevel="0" collapsed="false">
      <c r="A3" s="4" t="s">
        <v>186</v>
      </c>
      <c r="B3" s="4" t="s">
        <v>187</v>
      </c>
      <c r="C3" s="4" t="s">
        <v>188</v>
      </c>
      <c r="D3" s="4" t="s">
        <v>189</v>
      </c>
      <c r="E3" s="4" t="s">
        <v>190</v>
      </c>
      <c r="F3" s="4" t="s">
        <v>191</v>
      </c>
      <c r="G3" s="4" t="s">
        <v>192</v>
      </c>
      <c r="I3" s="29" t="s">
        <v>188</v>
      </c>
      <c r="J3" s="29" t="s">
        <v>193</v>
      </c>
      <c r="K3" s="29" t="s">
        <v>192</v>
      </c>
    </row>
    <row r="4" customFormat="false" ht="15" hidden="false" customHeight="false" outlineLevel="0" collapsed="false">
      <c r="A4" s="0" t="s">
        <v>194</v>
      </c>
      <c r="B4" s="0" t="n">
        <v>850</v>
      </c>
      <c r="C4" s="0" t="n">
        <v>825</v>
      </c>
      <c r="D4" s="0" t="n">
        <v>-94</v>
      </c>
      <c r="E4" s="0" t="n">
        <v>-69</v>
      </c>
      <c r="F4" s="26" t="n">
        <v>5186</v>
      </c>
      <c r="G4" s="7" t="n">
        <f aca="false">F4*Production!$B$3</f>
        <v>14261.5</v>
      </c>
      <c r="I4" s="0" t="n">
        <v>825</v>
      </c>
      <c r="J4" s="19" t="n">
        <f aca="false">COUNTIF($C$4:$C$92,I4)</f>
        <v>6</v>
      </c>
      <c r="K4" s="7" t="n">
        <f aca="false">SUMIF($C$4:$C$92,I4,$G$4:$G$92)</f>
        <v>108636</v>
      </c>
    </row>
    <row r="5" customFormat="false" ht="15" hidden="false" customHeight="false" outlineLevel="0" collapsed="false">
      <c r="A5" s="0" t="s">
        <v>195</v>
      </c>
      <c r="B5" s="0" t="n">
        <v>850</v>
      </c>
      <c r="C5" s="0" t="n">
        <v>825</v>
      </c>
      <c r="D5" s="0" t="n">
        <v>-69</v>
      </c>
      <c r="E5" s="0" t="n">
        <v>-44</v>
      </c>
      <c r="F5" s="26" t="n">
        <v>6070</v>
      </c>
      <c r="G5" s="7" t="n">
        <f aca="false">F5*Production!$B$3</f>
        <v>16692.5</v>
      </c>
      <c r="I5" s="0" t="n">
        <v>800</v>
      </c>
      <c r="J5" s="19" t="n">
        <f aca="false">COUNTIF($C$4:$C$92,I5)</f>
        <v>6</v>
      </c>
      <c r="K5" s="7" t="n">
        <f aca="false">SUMIF($C$4:$C$92,I5,$G$4:$G$92)</f>
        <v>110913</v>
      </c>
    </row>
    <row r="6" customFormat="false" ht="15" hidden="false" customHeight="false" outlineLevel="0" collapsed="false">
      <c r="A6" s="0" t="s">
        <v>196</v>
      </c>
      <c r="B6" s="0" t="n">
        <v>850</v>
      </c>
      <c r="C6" s="0" t="n">
        <v>825</v>
      </c>
      <c r="D6" s="0" t="n">
        <v>-38</v>
      </c>
      <c r="E6" s="0" t="n">
        <v>-13</v>
      </c>
      <c r="F6" s="26" t="n">
        <v>6923</v>
      </c>
      <c r="G6" s="7" t="n">
        <f aca="false">F6*Production!$B$3</f>
        <v>19038.25</v>
      </c>
      <c r="I6" s="0" t="n">
        <v>775</v>
      </c>
      <c r="J6" s="19" t="n">
        <f aca="false">COUNTIF($C$4:$C$92,I6)</f>
        <v>8</v>
      </c>
      <c r="K6" s="7" t="n">
        <f aca="false">SUMIF($C$4:$C$92,I6,$G$4:$G$92)</f>
        <v>132687.5</v>
      </c>
    </row>
    <row r="7" customFormat="false" ht="15" hidden="false" customHeight="false" outlineLevel="0" collapsed="false">
      <c r="A7" s="0" t="s">
        <v>197</v>
      </c>
      <c r="B7" s="0" t="n">
        <v>850</v>
      </c>
      <c r="C7" s="0" t="n">
        <v>825</v>
      </c>
      <c r="D7" s="0" t="n">
        <v>-13</v>
      </c>
      <c r="E7" s="0" t="n">
        <v>12</v>
      </c>
      <c r="F7" s="26" t="n">
        <v>7200</v>
      </c>
      <c r="G7" s="7" t="n">
        <f aca="false">F7*Production!$B$3</f>
        <v>19800</v>
      </c>
      <c r="I7" s="0" t="n">
        <v>750</v>
      </c>
      <c r="J7" s="19" t="n">
        <f aca="false">COUNTIF($C$4:$C$92,I7)</f>
        <v>7</v>
      </c>
      <c r="K7" s="7" t="n">
        <f aca="false">SUMIF($C$4:$C$92,I7,$G$4:$G$92)</f>
        <v>108572.75</v>
      </c>
    </row>
    <row r="8" customFormat="false" ht="15" hidden="false" customHeight="false" outlineLevel="0" collapsed="false">
      <c r="A8" s="0" t="s">
        <v>198</v>
      </c>
      <c r="B8" s="0" t="n">
        <v>850</v>
      </c>
      <c r="C8" s="0" t="n">
        <v>825</v>
      </c>
      <c r="D8" s="0" t="n">
        <v>12</v>
      </c>
      <c r="E8" s="0" t="n">
        <v>37</v>
      </c>
      <c r="F8" s="26" t="n">
        <v>7214</v>
      </c>
      <c r="G8" s="7" t="n">
        <f aca="false">F8*Production!$B$3</f>
        <v>19838.5</v>
      </c>
      <c r="I8" s="0" t="n">
        <v>725</v>
      </c>
      <c r="J8" s="19" t="n">
        <f aca="false">COUNTIF($C$4:$C$92,I8)</f>
        <v>7</v>
      </c>
      <c r="K8" s="7" t="n">
        <f aca="false">SUMIF($C$4:$C$92,I8,$G$4:$G$92)</f>
        <v>104084.75</v>
      </c>
    </row>
    <row r="9" customFormat="false" ht="15" hidden="false" customHeight="false" outlineLevel="0" collapsed="false">
      <c r="A9" s="0" t="s">
        <v>199</v>
      </c>
      <c r="B9" s="0" t="n">
        <v>850</v>
      </c>
      <c r="C9" s="0" t="n">
        <v>825</v>
      </c>
      <c r="D9" s="0" t="n">
        <v>43</v>
      </c>
      <c r="E9" s="0" t="n">
        <v>68</v>
      </c>
      <c r="F9" s="26" t="n">
        <v>6911</v>
      </c>
      <c r="G9" s="7" t="n">
        <f aca="false">F9*Production!$B$3</f>
        <v>19005.25</v>
      </c>
      <c r="I9" s="0" t="n">
        <v>700</v>
      </c>
      <c r="J9" s="19" t="n">
        <f aca="false">COUNTIF($C$4:$C$92,I9)</f>
        <v>6</v>
      </c>
      <c r="K9" s="7" t="n">
        <f aca="false">SUMIF($C$4:$C$92,I9,$G$4:$G$92)</f>
        <v>79926</v>
      </c>
    </row>
    <row r="10" customFormat="false" ht="15" hidden="false" customHeight="false" outlineLevel="0" collapsed="false">
      <c r="A10" s="0" t="s">
        <v>200</v>
      </c>
      <c r="B10" s="0" t="n">
        <v>825</v>
      </c>
      <c r="C10" s="0" t="n">
        <v>800</v>
      </c>
      <c r="D10" s="0" t="n">
        <v>-94</v>
      </c>
      <c r="E10" s="0" t="n">
        <v>-69</v>
      </c>
      <c r="F10" s="26" t="n">
        <v>5753</v>
      </c>
      <c r="G10" s="7" t="n">
        <f aca="false">F10*Production!$B$3</f>
        <v>15820.75</v>
      </c>
      <c r="I10" s="0" t="n">
        <v>675</v>
      </c>
      <c r="J10" s="19" t="n">
        <f aca="false">COUNTIF($C$4:$C$92,I10)</f>
        <v>6</v>
      </c>
      <c r="K10" s="7" t="n">
        <f aca="false">SUMIF($C$4:$C$92,I10,$G$4:$G$92)</f>
        <v>76579.25</v>
      </c>
    </row>
    <row r="11" customFormat="false" ht="15" hidden="false" customHeight="false" outlineLevel="0" collapsed="false">
      <c r="A11" s="0" t="s">
        <v>201</v>
      </c>
      <c r="B11" s="0" t="n">
        <v>825</v>
      </c>
      <c r="C11" s="0" t="n">
        <v>800</v>
      </c>
      <c r="D11" s="0" t="n">
        <v>-69</v>
      </c>
      <c r="E11" s="0" t="n">
        <v>-44</v>
      </c>
      <c r="F11" s="26" t="n">
        <v>6560</v>
      </c>
      <c r="G11" s="7" t="n">
        <f aca="false">F11*Production!$B$3</f>
        <v>18040</v>
      </c>
      <c r="I11" s="0" t="n">
        <v>650</v>
      </c>
      <c r="J11" s="19" t="n">
        <f aca="false">COUNTIF($C$4:$C$92,I11)</f>
        <v>6</v>
      </c>
      <c r="K11" s="7" t="n">
        <f aca="false">SUMIF($C$4:$C$92,I11,$G$4:$G$92)</f>
        <v>74384.75</v>
      </c>
    </row>
    <row r="12" customFormat="false" ht="15" hidden="false" customHeight="false" outlineLevel="0" collapsed="false">
      <c r="A12" s="0" t="s">
        <v>202</v>
      </c>
      <c r="B12" s="0" t="n">
        <v>825</v>
      </c>
      <c r="C12" s="0" t="n">
        <v>800</v>
      </c>
      <c r="D12" s="0" t="n">
        <v>-38</v>
      </c>
      <c r="E12" s="0" t="n">
        <v>-13</v>
      </c>
      <c r="F12" s="26" t="n">
        <v>7150</v>
      </c>
      <c r="G12" s="7" t="n">
        <f aca="false">F12*Production!$B$3</f>
        <v>19662.5</v>
      </c>
      <c r="I12" s="0" t="n">
        <v>625</v>
      </c>
      <c r="J12" s="19" t="n">
        <f aca="false">COUNTIF($C$4:$C$92,I12)</f>
        <v>6</v>
      </c>
      <c r="K12" s="7" t="n">
        <f aca="false">SUMIF($C$4:$C$92,I12,$G$4:$G$92)</f>
        <v>73422.25</v>
      </c>
    </row>
    <row r="13" customFormat="false" ht="15" hidden="false" customHeight="false" outlineLevel="0" collapsed="false">
      <c r="A13" s="0" t="s">
        <v>203</v>
      </c>
      <c r="B13" s="0" t="n">
        <v>825</v>
      </c>
      <c r="C13" s="0" t="n">
        <v>800</v>
      </c>
      <c r="D13" s="0" t="n">
        <v>-13</v>
      </c>
      <c r="E13" s="0" t="n">
        <v>12</v>
      </c>
      <c r="F13" s="26" t="n">
        <v>7205</v>
      </c>
      <c r="G13" s="7" t="n">
        <f aca="false">F13*Production!$B$3</f>
        <v>19813.75</v>
      </c>
      <c r="I13" s="0" t="n">
        <v>600</v>
      </c>
      <c r="J13" s="19" t="n">
        <f aca="false">COUNTIF($C$4:$C$92,I13)</f>
        <v>6</v>
      </c>
      <c r="K13" s="7" t="n">
        <f aca="false">SUMIF($C$4:$C$92,I13,$G$4:$G$92)</f>
        <v>73394.75</v>
      </c>
    </row>
    <row r="14" customFormat="false" ht="15" hidden="false" customHeight="false" outlineLevel="0" collapsed="false">
      <c r="A14" s="0" t="s">
        <v>204</v>
      </c>
      <c r="B14" s="0" t="n">
        <v>825</v>
      </c>
      <c r="C14" s="0" t="n">
        <v>800</v>
      </c>
      <c r="D14" s="0" t="n">
        <v>12</v>
      </c>
      <c r="E14" s="0" t="n">
        <v>37</v>
      </c>
      <c r="F14" s="26" t="n">
        <v>7139</v>
      </c>
      <c r="G14" s="7" t="n">
        <f aca="false">F14*Production!$B$3</f>
        <v>19632.25</v>
      </c>
      <c r="I14" s="0" t="n">
        <v>575</v>
      </c>
      <c r="J14" s="19" t="n">
        <f aca="false">COUNTIF($C$4:$C$92,I14)</f>
        <v>5</v>
      </c>
      <c r="K14" s="7" t="n">
        <f aca="false">SUMIF($C$4:$C$92,I14,$G$4:$G$92)</f>
        <v>62051</v>
      </c>
    </row>
    <row r="15" customFormat="false" ht="15" hidden="false" customHeight="false" outlineLevel="0" collapsed="false">
      <c r="A15" s="0" t="s">
        <v>205</v>
      </c>
      <c r="B15" s="0" t="n">
        <v>825</v>
      </c>
      <c r="C15" s="0" t="n">
        <v>800</v>
      </c>
      <c r="D15" s="0" t="n">
        <v>43</v>
      </c>
      <c r="E15" s="0" t="n">
        <v>68</v>
      </c>
      <c r="F15" s="26" t="n">
        <v>6525</v>
      </c>
      <c r="G15" s="7" t="n">
        <f aca="false">F15*Production!$B$3</f>
        <v>17943.75</v>
      </c>
      <c r="I15" s="0" t="n">
        <v>550</v>
      </c>
      <c r="J15" s="19" t="n">
        <f aca="false">COUNTIF($C$4:$C$92,I15)</f>
        <v>7</v>
      </c>
      <c r="K15" s="7" t="n">
        <f aca="false">SUMIF($C$4:$C$92,I15,$G$4:$G$92)</f>
        <v>96219.75</v>
      </c>
    </row>
    <row r="16" customFormat="false" ht="15" hidden="false" customHeight="false" outlineLevel="0" collapsed="false">
      <c r="A16" s="0" t="s">
        <v>206</v>
      </c>
      <c r="B16" s="0" t="n">
        <v>800</v>
      </c>
      <c r="C16" s="0" t="n">
        <v>775</v>
      </c>
      <c r="D16" s="0" t="n">
        <v>-94</v>
      </c>
      <c r="E16" s="0" t="n">
        <v>-69</v>
      </c>
      <c r="F16" s="26" t="n">
        <v>6286</v>
      </c>
      <c r="G16" s="7" t="n">
        <f aca="false">F16*Production!$B$3</f>
        <v>17286.5</v>
      </c>
      <c r="I16" s="0" t="n">
        <v>525</v>
      </c>
      <c r="J16" s="19" t="n">
        <f aca="false">COUNTIF($C$4:$C$92,I16)</f>
        <v>7</v>
      </c>
      <c r="K16" s="7" t="n">
        <f aca="false">SUMIF($C$4:$C$92,I16,$G$4:$G$92)</f>
        <v>102289</v>
      </c>
    </row>
    <row r="17" customFormat="false" ht="15" hidden="false" customHeight="false" outlineLevel="0" collapsed="false">
      <c r="A17" s="0" t="s">
        <v>207</v>
      </c>
      <c r="B17" s="0" t="n">
        <v>800</v>
      </c>
      <c r="C17" s="0" t="n">
        <v>775</v>
      </c>
      <c r="D17" s="0" t="n">
        <v>-69</v>
      </c>
      <c r="E17" s="0" t="n">
        <v>-44</v>
      </c>
      <c r="F17" s="26" t="n">
        <v>6935</v>
      </c>
      <c r="G17" s="7" t="n">
        <f aca="false">F17*Production!$B$3</f>
        <v>19071.25</v>
      </c>
      <c r="I17" s="0" t="n">
        <v>500</v>
      </c>
      <c r="J17" s="19" t="n">
        <f aca="false">COUNTIF($C$4:$C$92,I17)</f>
        <v>6</v>
      </c>
      <c r="K17" s="7" t="n">
        <f aca="false">SUMIF($C$4:$C$92,I17,$G$4:$G$92)</f>
        <v>97735</v>
      </c>
    </row>
    <row r="18" customFormat="false" ht="15" hidden="false" customHeight="false" outlineLevel="0" collapsed="false">
      <c r="A18" s="0" t="s">
        <v>208</v>
      </c>
      <c r="B18" s="0" t="n">
        <v>800</v>
      </c>
      <c r="C18" s="0" t="n">
        <v>775</v>
      </c>
      <c r="D18" s="0" t="n">
        <v>-38</v>
      </c>
      <c r="E18" s="0" t="n">
        <v>-13</v>
      </c>
      <c r="F18" s="26" t="n">
        <v>7215</v>
      </c>
      <c r="G18" s="7" t="n">
        <f aca="false">F18*Production!$B$3</f>
        <v>19841.25</v>
      </c>
    </row>
    <row r="19" customFormat="false" ht="15" hidden="false" customHeight="false" outlineLevel="0" collapsed="false">
      <c r="A19" s="0" t="s">
        <v>209</v>
      </c>
      <c r="B19" s="0" t="n">
        <v>800</v>
      </c>
      <c r="C19" s="0" t="n">
        <v>775</v>
      </c>
      <c r="D19" s="0" t="n">
        <v>-13</v>
      </c>
      <c r="E19" s="0" t="n">
        <v>12</v>
      </c>
      <c r="F19" s="26" t="n">
        <v>7197</v>
      </c>
      <c r="G19" s="7" t="n">
        <f aca="false">F19*Production!$B$3</f>
        <v>19791.75</v>
      </c>
    </row>
    <row r="20" customFormat="false" ht="15" hidden="false" customHeight="false" outlineLevel="0" collapsed="false">
      <c r="A20" s="0" t="s">
        <v>210</v>
      </c>
      <c r="B20" s="0" t="n">
        <v>800</v>
      </c>
      <c r="C20" s="0" t="n">
        <v>775</v>
      </c>
      <c r="D20" s="0" t="n">
        <v>12</v>
      </c>
      <c r="E20" s="0" t="n">
        <v>37</v>
      </c>
      <c r="F20" s="26" t="n">
        <v>6899</v>
      </c>
      <c r="G20" s="7" t="n">
        <f aca="false">F20*Production!$B$3</f>
        <v>18972.25</v>
      </c>
    </row>
    <row r="21" customFormat="false" ht="15" hidden="false" customHeight="false" outlineLevel="0" collapsed="false">
      <c r="A21" s="0" t="s">
        <v>211</v>
      </c>
      <c r="B21" s="0" t="n">
        <v>800</v>
      </c>
      <c r="C21" s="0" t="n">
        <v>775</v>
      </c>
      <c r="D21" s="0" t="n">
        <v>43</v>
      </c>
      <c r="E21" s="0" t="n">
        <v>68</v>
      </c>
      <c r="F21" s="26" t="n">
        <v>6028</v>
      </c>
      <c r="G21" s="7" t="n">
        <f aca="false">F21*Production!$B$3</f>
        <v>16577</v>
      </c>
    </row>
    <row r="22" customFormat="false" ht="15" hidden="false" customHeight="false" outlineLevel="0" collapsed="false">
      <c r="A22" s="0" t="s">
        <v>212</v>
      </c>
      <c r="B22" s="0" t="n">
        <v>800</v>
      </c>
      <c r="C22" s="0" t="n">
        <v>775</v>
      </c>
      <c r="D22" s="0" t="n">
        <v>93</v>
      </c>
      <c r="E22" s="0" t="n">
        <v>118</v>
      </c>
      <c r="F22" s="26" t="n">
        <v>4297</v>
      </c>
      <c r="G22" s="7" t="n">
        <f aca="false">F22*Production!$B$3</f>
        <v>11816.75</v>
      </c>
    </row>
    <row r="23" customFormat="false" ht="15" hidden="false" customHeight="false" outlineLevel="0" collapsed="false">
      <c r="A23" s="0" t="s">
        <v>213</v>
      </c>
      <c r="B23" s="0" t="n">
        <v>800</v>
      </c>
      <c r="C23" s="0" t="n">
        <v>775</v>
      </c>
      <c r="D23" s="0" t="n">
        <v>124</v>
      </c>
      <c r="E23" s="0" t="n">
        <v>149</v>
      </c>
      <c r="F23" s="26" t="n">
        <v>3393</v>
      </c>
      <c r="G23" s="7" t="n">
        <f aca="false">F23*Production!$B$3</f>
        <v>9330.75</v>
      </c>
    </row>
    <row r="24" customFormat="false" ht="15" hidden="false" customHeight="false" outlineLevel="0" collapsed="false">
      <c r="A24" s="0" t="s">
        <v>214</v>
      </c>
      <c r="B24" s="0" t="n">
        <v>775</v>
      </c>
      <c r="C24" s="0" t="n">
        <v>750</v>
      </c>
      <c r="D24" s="0" t="n">
        <v>-69</v>
      </c>
      <c r="E24" s="0" t="n">
        <v>-44</v>
      </c>
      <c r="F24" s="26" t="n">
        <v>7155</v>
      </c>
      <c r="G24" s="7" t="n">
        <f aca="false">F24*Production!$B$3</f>
        <v>19676.25</v>
      </c>
    </row>
    <row r="25" customFormat="false" ht="15" hidden="false" customHeight="false" outlineLevel="0" collapsed="false">
      <c r="A25" s="0" t="s">
        <v>215</v>
      </c>
      <c r="B25" s="0" t="n">
        <v>775</v>
      </c>
      <c r="C25" s="0" t="n">
        <v>750</v>
      </c>
      <c r="D25" s="0" t="n">
        <v>-38</v>
      </c>
      <c r="E25" s="0" t="n">
        <v>-13</v>
      </c>
      <c r="F25" s="26" t="n">
        <v>7217</v>
      </c>
      <c r="G25" s="7" t="n">
        <f aca="false">F25*Production!$B$3</f>
        <v>19846.75</v>
      </c>
    </row>
    <row r="26" customFormat="false" ht="15" hidden="false" customHeight="false" outlineLevel="0" collapsed="false">
      <c r="A26" s="0" t="s">
        <v>216</v>
      </c>
      <c r="B26" s="0" t="n">
        <v>775</v>
      </c>
      <c r="C26" s="0" t="n">
        <v>750</v>
      </c>
      <c r="D26" s="0" t="n">
        <v>-13</v>
      </c>
      <c r="E26" s="0" t="n">
        <v>12</v>
      </c>
      <c r="F26" s="26" t="n">
        <v>7059</v>
      </c>
      <c r="G26" s="7" t="n">
        <f aca="false">F26*Production!$B$3</f>
        <v>19412.25</v>
      </c>
    </row>
    <row r="27" customFormat="false" ht="15" hidden="false" customHeight="false" outlineLevel="0" collapsed="false">
      <c r="A27" s="0" t="s">
        <v>217</v>
      </c>
      <c r="B27" s="0" t="n">
        <v>775</v>
      </c>
      <c r="C27" s="0" t="n">
        <v>750</v>
      </c>
      <c r="D27" s="0" t="n">
        <v>12</v>
      </c>
      <c r="E27" s="0" t="n">
        <v>37</v>
      </c>
      <c r="F27" s="26" t="n">
        <v>6507</v>
      </c>
      <c r="G27" s="7" t="n">
        <f aca="false">F27*Production!$B$3</f>
        <v>17894.25</v>
      </c>
    </row>
    <row r="28" customFormat="false" ht="15" hidden="false" customHeight="false" outlineLevel="0" collapsed="false">
      <c r="A28" s="0" t="s">
        <v>218</v>
      </c>
      <c r="B28" s="0" t="n">
        <v>775</v>
      </c>
      <c r="C28" s="0" t="n">
        <v>750</v>
      </c>
      <c r="D28" s="0" t="n">
        <v>68</v>
      </c>
      <c r="E28" s="0" t="n">
        <v>93</v>
      </c>
      <c r="F28" s="26" t="n">
        <v>4594</v>
      </c>
      <c r="G28" s="7" t="n">
        <f aca="false">F28*Production!$B$3</f>
        <v>12633.5</v>
      </c>
    </row>
    <row r="29" customFormat="false" ht="15" hidden="false" customHeight="false" outlineLevel="0" collapsed="false">
      <c r="A29" s="0" t="s">
        <v>219</v>
      </c>
      <c r="B29" s="0" t="n">
        <v>775</v>
      </c>
      <c r="C29" s="0" t="n">
        <v>750</v>
      </c>
      <c r="D29" s="0" t="n">
        <v>93</v>
      </c>
      <c r="E29" s="0" t="n">
        <v>118</v>
      </c>
      <c r="F29" s="26" t="n">
        <v>3791</v>
      </c>
      <c r="G29" s="7" t="n">
        <f aca="false">F29*Production!$B$3</f>
        <v>10425.25</v>
      </c>
    </row>
    <row r="30" customFormat="false" ht="15" hidden="false" customHeight="false" outlineLevel="0" collapsed="false">
      <c r="A30" s="0" t="s">
        <v>220</v>
      </c>
      <c r="B30" s="0" t="n">
        <v>775</v>
      </c>
      <c r="C30" s="0" t="n">
        <v>750</v>
      </c>
      <c r="D30" s="0" t="n">
        <v>124</v>
      </c>
      <c r="E30" s="0" t="n">
        <v>149</v>
      </c>
      <c r="F30" s="26" t="n">
        <v>3158</v>
      </c>
      <c r="G30" s="7" t="n">
        <f aca="false">F30*Production!$B$3</f>
        <v>8684.5</v>
      </c>
    </row>
    <row r="31" customFormat="false" ht="15" hidden="false" customHeight="false" outlineLevel="0" collapsed="false">
      <c r="A31" s="0" t="s">
        <v>221</v>
      </c>
      <c r="B31" s="0" t="n">
        <v>750</v>
      </c>
      <c r="C31" s="0" t="n">
        <v>725</v>
      </c>
      <c r="D31" s="0" t="n">
        <v>-69</v>
      </c>
      <c r="E31" s="0" t="n">
        <v>-44</v>
      </c>
      <c r="F31" s="26" t="n">
        <v>7216</v>
      </c>
      <c r="G31" s="7" t="n">
        <f aca="false">F31*Production!$B$3</f>
        <v>19844</v>
      </c>
    </row>
    <row r="32" customFormat="false" ht="15" hidden="false" customHeight="false" outlineLevel="0" collapsed="false">
      <c r="A32" s="0" t="s">
        <v>222</v>
      </c>
      <c r="B32" s="0" t="n">
        <v>750</v>
      </c>
      <c r="C32" s="0" t="n">
        <v>725</v>
      </c>
      <c r="D32" s="0" t="n">
        <v>-38</v>
      </c>
      <c r="E32" s="0" t="n">
        <v>-13</v>
      </c>
      <c r="F32" s="26" t="n">
        <v>7161</v>
      </c>
      <c r="G32" s="7" t="n">
        <f aca="false">F32*Production!$B$3</f>
        <v>19692.75</v>
      </c>
    </row>
    <row r="33" customFormat="false" ht="15" hidden="false" customHeight="false" outlineLevel="0" collapsed="false">
      <c r="A33" s="0" t="s">
        <v>223</v>
      </c>
      <c r="B33" s="0" t="n">
        <v>750</v>
      </c>
      <c r="C33" s="0" t="n">
        <v>725</v>
      </c>
      <c r="D33" s="0" t="n">
        <v>-13</v>
      </c>
      <c r="E33" s="0" t="n">
        <v>12</v>
      </c>
      <c r="F33" s="26" t="n">
        <v>6751</v>
      </c>
      <c r="G33" s="7" t="n">
        <f aca="false">F33*Production!$B$3</f>
        <v>18565.25</v>
      </c>
    </row>
    <row r="34" customFormat="false" ht="15" hidden="false" customHeight="false" outlineLevel="0" collapsed="false">
      <c r="A34" s="0" t="s">
        <v>224</v>
      </c>
      <c r="B34" s="0" t="n">
        <v>750</v>
      </c>
      <c r="C34" s="0" t="n">
        <v>725</v>
      </c>
      <c r="D34" s="0" t="n">
        <v>12</v>
      </c>
      <c r="E34" s="0" t="n">
        <v>37</v>
      </c>
      <c r="F34" s="26" t="n">
        <v>6006</v>
      </c>
      <c r="G34" s="7" t="n">
        <f aca="false">F34*Production!$B$3</f>
        <v>16516.5</v>
      </c>
    </row>
    <row r="35" customFormat="false" ht="15" hidden="false" customHeight="false" outlineLevel="0" collapsed="false">
      <c r="A35" s="0" t="s">
        <v>225</v>
      </c>
      <c r="B35" s="0" t="n">
        <v>750</v>
      </c>
      <c r="C35" s="0" t="n">
        <v>725</v>
      </c>
      <c r="D35" s="0" t="n">
        <v>68</v>
      </c>
      <c r="E35" s="0" t="n">
        <v>93</v>
      </c>
      <c r="F35" s="26" t="n">
        <v>4079</v>
      </c>
      <c r="G35" s="7" t="n">
        <f aca="false">F35*Production!$B$3</f>
        <v>11217.25</v>
      </c>
    </row>
    <row r="36" customFormat="false" ht="15" hidden="false" customHeight="false" outlineLevel="0" collapsed="false">
      <c r="A36" s="0" t="s">
        <v>226</v>
      </c>
      <c r="B36" s="0" t="n">
        <v>750</v>
      </c>
      <c r="C36" s="0" t="n">
        <v>725</v>
      </c>
      <c r="D36" s="0" t="n">
        <v>93</v>
      </c>
      <c r="E36" s="0" t="n">
        <v>118</v>
      </c>
      <c r="F36" s="26" t="n">
        <v>3379</v>
      </c>
      <c r="G36" s="7" t="n">
        <f aca="false">F36*Production!$B$3</f>
        <v>9292.25</v>
      </c>
    </row>
    <row r="37" customFormat="false" ht="15" hidden="false" customHeight="false" outlineLevel="0" collapsed="false">
      <c r="A37" s="0" t="s">
        <v>227</v>
      </c>
      <c r="B37" s="0" t="n">
        <v>750</v>
      </c>
      <c r="C37" s="0" t="n">
        <v>725</v>
      </c>
      <c r="D37" s="0" t="n">
        <v>124</v>
      </c>
      <c r="E37" s="0" t="n">
        <v>149</v>
      </c>
      <c r="F37" s="26" t="n">
        <v>3257</v>
      </c>
      <c r="G37" s="7" t="n">
        <f aca="false">F37*Production!$B$3</f>
        <v>8956.75</v>
      </c>
    </row>
    <row r="38" customFormat="false" ht="15" hidden="false" customHeight="false" outlineLevel="0" collapsed="false">
      <c r="A38" s="0" t="s">
        <v>228</v>
      </c>
      <c r="B38" s="0" t="n">
        <v>725</v>
      </c>
      <c r="C38" s="0" t="n">
        <v>700</v>
      </c>
      <c r="D38" s="0" t="n">
        <v>-38</v>
      </c>
      <c r="E38" s="0" t="n">
        <v>-13</v>
      </c>
      <c r="F38" s="26" t="n">
        <v>6948</v>
      </c>
      <c r="G38" s="7" t="n">
        <f aca="false">F38*Production!$B$3</f>
        <v>19107</v>
      </c>
    </row>
    <row r="39" customFormat="false" ht="15" hidden="false" customHeight="false" outlineLevel="0" collapsed="false">
      <c r="A39" s="0" t="s">
        <v>229</v>
      </c>
      <c r="B39" s="0" t="n">
        <v>725</v>
      </c>
      <c r="C39" s="0" t="n">
        <v>700</v>
      </c>
      <c r="D39" s="0" t="n">
        <v>-13</v>
      </c>
      <c r="E39" s="0" t="n">
        <v>12</v>
      </c>
      <c r="F39" s="26" t="n">
        <v>6307</v>
      </c>
      <c r="G39" s="7" t="n">
        <f aca="false">F39*Production!$B$3</f>
        <v>17344.25</v>
      </c>
    </row>
    <row r="40" customFormat="false" ht="15" hidden="false" customHeight="false" outlineLevel="0" collapsed="false">
      <c r="A40" s="0" t="s">
        <v>230</v>
      </c>
      <c r="B40" s="0" t="n">
        <v>725</v>
      </c>
      <c r="C40" s="0" t="n">
        <v>700</v>
      </c>
      <c r="D40" s="0" t="n">
        <v>12</v>
      </c>
      <c r="E40" s="0" t="n">
        <v>37</v>
      </c>
      <c r="F40" s="26" t="n">
        <v>5448</v>
      </c>
      <c r="G40" s="7" t="n">
        <f aca="false">F40*Production!$B$3</f>
        <v>14982</v>
      </c>
    </row>
    <row r="41" customFormat="false" ht="15" hidden="false" customHeight="false" outlineLevel="0" collapsed="false">
      <c r="A41" s="0" t="s">
        <v>231</v>
      </c>
      <c r="B41" s="0" t="n">
        <v>725</v>
      </c>
      <c r="C41" s="0" t="n">
        <v>700</v>
      </c>
      <c r="D41" s="0" t="n">
        <v>68</v>
      </c>
      <c r="E41" s="0" t="n">
        <v>93</v>
      </c>
      <c r="F41" s="26" t="n">
        <v>3600</v>
      </c>
      <c r="G41" s="7" t="n">
        <f aca="false">F41*Production!$B$3</f>
        <v>9900</v>
      </c>
    </row>
    <row r="42" customFormat="false" ht="15" hidden="false" customHeight="false" outlineLevel="0" collapsed="false">
      <c r="A42" s="0" t="s">
        <v>232</v>
      </c>
      <c r="B42" s="0" t="n">
        <v>725</v>
      </c>
      <c r="C42" s="0" t="n">
        <v>700</v>
      </c>
      <c r="D42" s="0" t="n">
        <v>93</v>
      </c>
      <c r="E42" s="0" t="n">
        <v>118</v>
      </c>
      <c r="F42" s="26" t="n">
        <v>3156</v>
      </c>
      <c r="G42" s="7" t="n">
        <f aca="false">F42*Production!$B$3</f>
        <v>8679</v>
      </c>
    </row>
    <row r="43" customFormat="false" ht="15" hidden="false" customHeight="false" outlineLevel="0" collapsed="false">
      <c r="A43" s="0" t="s">
        <v>233</v>
      </c>
      <c r="B43" s="0" t="n">
        <v>725</v>
      </c>
      <c r="C43" s="0" t="n">
        <v>700</v>
      </c>
      <c r="D43" s="0" t="n">
        <v>124</v>
      </c>
      <c r="E43" s="0" t="n">
        <v>149</v>
      </c>
      <c r="F43" s="26" t="n">
        <v>3605</v>
      </c>
      <c r="G43" s="7" t="n">
        <f aca="false">F43*Production!$B$3</f>
        <v>9913.75</v>
      </c>
    </row>
    <row r="44" customFormat="false" ht="15" hidden="false" customHeight="false" outlineLevel="0" collapsed="false">
      <c r="A44" s="0" t="s">
        <v>234</v>
      </c>
      <c r="B44" s="0" t="n">
        <v>700</v>
      </c>
      <c r="C44" s="0" t="n">
        <v>675</v>
      </c>
      <c r="D44" s="0" t="n">
        <v>-38</v>
      </c>
      <c r="E44" s="0" t="n">
        <v>-13</v>
      </c>
      <c r="F44" s="26" t="n">
        <v>6579</v>
      </c>
      <c r="G44" s="7" t="n">
        <f aca="false">F44*Production!$B$3</f>
        <v>18092.25</v>
      </c>
    </row>
    <row r="45" customFormat="false" ht="15" hidden="false" customHeight="false" outlineLevel="0" collapsed="false">
      <c r="A45" s="0" t="s">
        <v>235</v>
      </c>
      <c r="B45" s="0" t="n">
        <v>700</v>
      </c>
      <c r="C45" s="0" t="n">
        <v>675</v>
      </c>
      <c r="D45" s="0" t="n">
        <v>-13</v>
      </c>
      <c r="E45" s="0" t="n">
        <v>12</v>
      </c>
      <c r="F45" s="26" t="n">
        <v>5776</v>
      </c>
      <c r="G45" s="7" t="n">
        <f aca="false">F45*Production!$B$3</f>
        <v>15884</v>
      </c>
    </row>
    <row r="46" customFormat="false" ht="15" hidden="false" customHeight="false" outlineLevel="0" collapsed="false">
      <c r="A46" s="0" t="s">
        <v>236</v>
      </c>
      <c r="B46" s="0" t="n">
        <v>700</v>
      </c>
      <c r="C46" s="0" t="n">
        <v>675</v>
      </c>
      <c r="D46" s="0" t="n">
        <v>12</v>
      </c>
      <c r="E46" s="0" t="n">
        <v>37</v>
      </c>
      <c r="F46" s="26" t="n">
        <v>4884</v>
      </c>
      <c r="G46" s="7" t="n">
        <f aca="false">F46*Production!$B$3</f>
        <v>13431</v>
      </c>
    </row>
    <row r="47" customFormat="false" ht="15" hidden="false" customHeight="false" outlineLevel="0" collapsed="false">
      <c r="A47" s="0" t="s">
        <v>237</v>
      </c>
      <c r="B47" s="0" t="n">
        <v>700</v>
      </c>
      <c r="C47" s="0" t="n">
        <v>675</v>
      </c>
      <c r="D47" s="0" t="n">
        <v>68</v>
      </c>
      <c r="E47" s="0" t="n">
        <v>93</v>
      </c>
      <c r="F47" s="26" t="n">
        <v>3254</v>
      </c>
      <c r="G47" s="7" t="n">
        <f aca="false">F47*Production!$B$3</f>
        <v>8948.5</v>
      </c>
    </row>
    <row r="48" customFormat="false" ht="15" hidden="false" customHeight="false" outlineLevel="0" collapsed="false">
      <c r="A48" s="0" t="s">
        <v>238</v>
      </c>
      <c r="B48" s="0" t="n">
        <v>700</v>
      </c>
      <c r="C48" s="0" t="n">
        <v>675</v>
      </c>
      <c r="D48" s="0" t="n">
        <v>93</v>
      </c>
      <c r="E48" s="0" t="n">
        <v>118</v>
      </c>
      <c r="F48" s="26" t="n">
        <v>3268</v>
      </c>
      <c r="G48" s="7" t="n">
        <f aca="false">F48*Production!$B$3</f>
        <v>8987</v>
      </c>
    </row>
    <row r="49" customFormat="false" ht="15" hidden="false" customHeight="false" outlineLevel="0" collapsed="false">
      <c r="A49" s="0" t="s">
        <v>239</v>
      </c>
      <c r="B49" s="0" t="n">
        <v>700</v>
      </c>
      <c r="C49" s="0" t="n">
        <v>675</v>
      </c>
      <c r="D49" s="0" t="n">
        <v>124</v>
      </c>
      <c r="E49" s="0" t="n">
        <v>149</v>
      </c>
      <c r="F49" s="26" t="n">
        <v>4086</v>
      </c>
      <c r="G49" s="7" t="n">
        <f aca="false">F49*Production!$B$3</f>
        <v>11236.5</v>
      </c>
    </row>
    <row r="50" customFormat="false" ht="15" hidden="false" customHeight="false" outlineLevel="0" collapsed="false">
      <c r="A50" s="0" t="s">
        <v>240</v>
      </c>
      <c r="B50" s="0" t="n">
        <v>675</v>
      </c>
      <c r="C50" s="0" t="n">
        <v>650</v>
      </c>
      <c r="D50" s="0" t="n">
        <v>-38</v>
      </c>
      <c r="E50" s="0" t="n">
        <v>-13</v>
      </c>
      <c r="F50" s="26" t="n">
        <v>6092</v>
      </c>
      <c r="G50" s="7" t="n">
        <f aca="false">F50*Production!$B$3</f>
        <v>16753</v>
      </c>
    </row>
    <row r="51" customFormat="false" ht="15" hidden="false" customHeight="false" outlineLevel="0" collapsed="false">
      <c r="A51" s="0" t="s">
        <v>241</v>
      </c>
      <c r="B51" s="0" t="n">
        <v>675</v>
      </c>
      <c r="C51" s="0" t="n">
        <v>650</v>
      </c>
      <c r="D51" s="0" t="n">
        <v>-13</v>
      </c>
      <c r="E51" s="0" t="n">
        <v>12</v>
      </c>
      <c r="F51" s="26" t="n">
        <v>5209</v>
      </c>
      <c r="G51" s="7" t="n">
        <f aca="false">F51*Production!$B$3</f>
        <v>14324.75</v>
      </c>
    </row>
    <row r="52" customFormat="false" ht="15" hidden="false" customHeight="false" outlineLevel="0" collapsed="false">
      <c r="A52" s="0" t="s">
        <v>242</v>
      </c>
      <c r="B52" s="0" t="n">
        <v>675</v>
      </c>
      <c r="C52" s="0" t="n">
        <v>650</v>
      </c>
      <c r="D52" s="0" t="n">
        <v>12</v>
      </c>
      <c r="E52" s="0" t="n">
        <v>37</v>
      </c>
      <c r="F52" s="26" t="n">
        <v>4362</v>
      </c>
      <c r="G52" s="7" t="n">
        <f aca="false">F52*Production!$B$3</f>
        <v>11995.5</v>
      </c>
    </row>
    <row r="53" customFormat="false" ht="15" hidden="false" customHeight="false" outlineLevel="0" collapsed="false">
      <c r="A53" s="0" t="s">
        <v>243</v>
      </c>
      <c r="B53" s="0" t="n">
        <v>675</v>
      </c>
      <c r="C53" s="0" t="n">
        <v>650</v>
      </c>
      <c r="D53" s="0" t="n">
        <v>68</v>
      </c>
      <c r="E53" s="0" t="n">
        <v>93</v>
      </c>
      <c r="F53" s="26" t="n">
        <v>3161</v>
      </c>
      <c r="G53" s="7" t="n">
        <f aca="false">F53*Production!$B$3</f>
        <v>8692.75</v>
      </c>
    </row>
    <row r="54" customFormat="false" ht="15" hidden="false" customHeight="false" outlineLevel="0" collapsed="false">
      <c r="A54" s="0" t="s">
        <v>244</v>
      </c>
      <c r="B54" s="0" t="n">
        <v>675</v>
      </c>
      <c r="C54" s="0" t="n">
        <v>650</v>
      </c>
      <c r="D54" s="0" t="n">
        <v>93</v>
      </c>
      <c r="E54" s="0" t="n">
        <v>118</v>
      </c>
      <c r="F54" s="26" t="n">
        <v>3622</v>
      </c>
      <c r="G54" s="7" t="n">
        <f aca="false">F54*Production!$B$3</f>
        <v>9960.5</v>
      </c>
    </row>
    <row r="55" customFormat="false" ht="15" hidden="false" customHeight="false" outlineLevel="0" collapsed="false">
      <c r="A55" s="0" t="s">
        <v>245</v>
      </c>
      <c r="B55" s="0" t="n">
        <v>675</v>
      </c>
      <c r="C55" s="0" t="n">
        <v>650</v>
      </c>
      <c r="D55" s="0" t="n">
        <v>124</v>
      </c>
      <c r="E55" s="0" t="n">
        <v>149</v>
      </c>
      <c r="F55" s="26" t="n">
        <v>4603</v>
      </c>
      <c r="G55" s="7" t="n">
        <f aca="false">F55*Production!$B$3</f>
        <v>12658.25</v>
      </c>
    </row>
    <row r="56" customFormat="false" ht="15" hidden="false" customHeight="false" outlineLevel="0" collapsed="false">
      <c r="A56" s="0" t="s">
        <v>246</v>
      </c>
      <c r="B56" s="0" t="n">
        <v>650</v>
      </c>
      <c r="C56" s="0" t="n">
        <v>625</v>
      </c>
      <c r="D56" s="0" t="n">
        <v>-38</v>
      </c>
      <c r="E56" s="0" t="n">
        <v>-13</v>
      </c>
      <c r="F56" s="26" t="n">
        <v>5539</v>
      </c>
      <c r="G56" s="7" t="n">
        <f aca="false">F56*Production!$B$3</f>
        <v>15232.25</v>
      </c>
    </row>
    <row r="57" customFormat="false" ht="15" hidden="false" customHeight="false" outlineLevel="0" collapsed="false">
      <c r="A57" s="0" t="s">
        <v>247</v>
      </c>
      <c r="B57" s="0" t="n">
        <v>650</v>
      </c>
      <c r="C57" s="0" t="n">
        <v>625</v>
      </c>
      <c r="D57" s="0" t="n">
        <v>-13</v>
      </c>
      <c r="E57" s="0" t="n">
        <v>12</v>
      </c>
      <c r="F57" s="26" t="n">
        <v>4657</v>
      </c>
      <c r="G57" s="7" t="n">
        <f aca="false">F57*Production!$B$3</f>
        <v>12806.75</v>
      </c>
    </row>
    <row r="58" customFormat="false" ht="15" hidden="false" customHeight="false" outlineLevel="0" collapsed="false">
      <c r="A58" s="0" t="s">
        <v>248</v>
      </c>
      <c r="B58" s="0" t="n">
        <v>650</v>
      </c>
      <c r="C58" s="0" t="n">
        <v>625</v>
      </c>
      <c r="D58" s="0" t="n">
        <v>12</v>
      </c>
      <c r="E58" s="0" t="n">
        <v>37</v>
      </c>
      <c r="F58" s="26" t="n">
        <v>3851</v>
      </c>
      <c r="G58" s="7" t="n">
        <f aca="false">F58*Production!$B$3</f>
        <v>10590.25</v>
      </c>
    </row>
    <row r="59" customFormat="false" ht="15" hidden="false" customHeight="false" outlineLevel="0" collapsed="false">
      <c r="A59" s="0" t="s">
        <v>249</v>
      </c>
      <c r="B59" s="0" t="n">
        <v>650</v>
      </c>
      <c r="C59" s="0" t="n">
        <v>625</v>
      </c>
      <c r="D59" s="0" t="n">
        <v>68</v>
      </c>
      <c r="E59" s="0" t="n">
        <v>93</v>
      </c>
      <c r="F59" s="26" t="n">
        <v>3397</v>
      </c>
      <c r="G59" s="7" t="n">
        <f aca="false">F59*Production!$B$3</f>
        <v>9341.75</v>
      </c>
    </row>
    <row r="60" customFormat="false" ht="15" hidden="false" customHeight="false" outlineLevel="0" collapsed="false">
      <c r="A60" s="0" t="s">
        <v>250</v>
      </c>
      <c r="B60" s="0" t="n">
        <v>650</v>
      </c>
      <c r="C60" s="0" t="n">
        <v>625</v>
      </c>
      <c r="D60" s="0" t="n">
        <v>93</v>
      </c>
      <c r="E60" s="0" t="n">
        <v>118</v>
      </c>
      <c r="F60" s="26" t="n">
        <v>4106</v>
      </c>
      <c r="G60" s="7" t="n">
        <f aca="false">F60*Production!$B$3</f>
        <v>11291.5</v>
      </c>
    </row>
    <row r="61" customFormat="false" ht="15" hidden="false" customHeight="false" outlineLevel="0" collapsed="false">
      <c r="A61" s="0" t="s">
        <v>251</v>
      </c>
      <c r="B61" s="0" t="n">
        <v>650</v>
      </c>
      <c r="C61" s="0" t="n">
        <v>625</v>
      </c>
      <c r="D61" s="0" t="n">
        <v>124</v>
      </c>
      <c r="E61" s="0" t="n">
        <v>149</v>
      </c>
      <c r="F61" s="26" t="n">
        <v>5149</v>
      </c>
      <c r="G61" s="7" t="n">
        <f aca="false">F61*Production!$B$3</f>
        <v>14159.75</v>
      </c>
    </row>
    <row r="62" customFormat="false" ht="15" hidden="false" customHeight="false" outlineLevel="0" collapsed="false">
      <c r="A62" s="0" t="s">
        <v>252</v>
      </c>
      <c r="B62" s="0" t="n">
        <v>625</v>
      </c>
      <c r="C62" s="0" t="n">
        <v>600</v>
      </c>
      <c r="D62" s="0" t="n">
        <v>-38</v>
      </c>
      <c r="E62" s="0" t="n">
        <v>-13</v>
      </c>
      <c r="F62" s="26" t="n">
        <v>4973</v>
      </c>
      <c r="G62" s="7" t="n">
        <f aca="false">F62*Production!$B$3</f>
        <v>13675.75</v>
      </c>
    </row>
    <row r="63" customFormat="false" ht="15" hidden="false" customHeight="false" outlineLevel="0" collapsed="false">
      <c r="A63" s="0" t="s">
        <v>253</v>
      </c>
      <c r="B63" s="0" t="n">
        <v>625</v>
      </c>
      <c r="C63" s="0" t="n">
        <v>600</v>
      </c>
      <c r="D63" s="0" t="n">
        <v>-13</v>
      </c>
      <c r="E63" s="0" t="n">
        <v>12</v>
      </c>
      <c r="F63" s="26" t="n">
        <v>4140</v>
      </c>
      <c r="G63" s="7" t="n">
        <f aca="false">F63*Production!$B$3</f>
        <v>11385</v>
      </c>
    </row>
    <row r="64" customFormat="false" ht="15" hidden="false" customHeight="false" outlineLevel="0" collapsed="false">
      <c r="A64" s="0" t="s">
        <v>254</v>
      </c>
      <c r="B64" s="0" t="n">
        <v>625</v>
      </c>
      <c r="C64" s="0" t="n">
        <v>600</v>
      </c>
      <c r="D64" s="0" t="n">
        <v>12</v>
      </c>
      <c r="E64" s="0" t="n">
        <v>37</v>
      </c>
      <c r="F64" s="26" t="n">
        <v>3421</v>
      </c>
      <c r="G64" s="7" t="n">
        <f aca="false">F64*Production!$B$3</f>
        <v>9407.75</v>
      </c>
    </row>
    <row r="65" customFormat="false" ht="15" hidden="false" customHeight="false" outlineLevel="0" collapsed="false">
      <c r="A65" s="0" t="s">
        <v>255</v>
      </c>
      <c r="B65" s="0" t="n">
        <v>625</v>
      </c>
      <c r="C65" s="0" t="n">
        <v>600</v>
      </c>
      <c r="D65" s="0" t="n">
        <v>68</v>
      </c>
      <c r="E65" s="0" t="n">
        <v>93</v>
      </c>
      <c r="F65" s="26" t="n">
        <v>3816</v>
      </c>
      <c r="G65" s="7" t="n">
        <f aca="false">F65*Production!$B$3</f>
        <v>10494</v>
      </c>
    </row>
    <row r="66" customFormat="false" ht="15" hidden="false" customHeight="false" outlineLevel="0" collapsed="false">
      <c r="A66" s="0" t="s">
        <v>256</v>
      </c>
      <c r="B66" s="0" t="n">
        <v>625</v>
      </c>
      <c r="C66" s="0" t="n">
        <v>600</v>
      </c>
      <c r="D66" s="0" t="n">
        <v>93</v>
      </c>
      <c r="E66" s="0" t="n">
        <v>118</v>
      </c>
      <c r="F66" s="26" t="n">
        <v>4623</v>
      </c>
      <c r="G66" s="7" t="n">
        <f aca="false">F66*Production!$B$3</f>
        <v>12713.25</v>
      </c>
    </row>
    <row r="67" customFormat="false" ht="15" hidden="false" customHeight="false" outlineLevel="0" collapsed="false">
      <c r="A67" s="0" t="s">
        <v>257</v>
      </c>
      <c r="B67" s="0" t="n">
        <v>625</v>
      </c>
      <c r="C67" s="0" t="n">
        <v>600</v>
      </c>
      <c r="D67" s="0" t="n">
        <v>124</v>
      </c>
      <c r="E67" s="0" t="n">
        <v>149</v>
      </c>
      <c r="F67" s="26" t="n">
        <v>5716</v>
      </c>
      <c r="G67" s="7" t="n">
        <f aca="false">F67*Production!$B$3</f>
        <v>15719</v>
      </c>
    </row>
    <row r="68" customFormat="false" ht="15" hidden="false" customHeight="false" outlineLevel="0" collapsed="false">
      <c r="A68" s="0" t="s">
        <v>258</v>
      </c>
      <c r="B68" s="0" t="n">
        <v>600</v>
      </c>
      <c r="C68" s="0" t="n">
        <v>575</v>
      </c>
      <c r="D68" s="0" t="n">
        <v>-13</v>
      </c>
      <c r="E68" s="0" t="n">
        <v>12</v>
      </c>
      <c r="F68" s="26" t="n">
        <v>3653</v>
      </c>
      <c r="G68" s="7" t="n">
        <f aca="false">F68*Production!$B$3</f>
        <v>10045.75</v>
      </c>
    </row>
    <row r="69" customFormat="false" ht="15" hidden="false" customHeight="false" outlineLevel="0" collapsed="false">
      <c r="A69" s="0" t="s">
        <v>259</v>
      </c>
      <c r="B69" s="0" t="n">
        <v>600</v>
      </c>
      <c r="C69" s="0" t="n">
        <v>575</v>
      </c>
      <c r="D69" s="0" t="n">
        <v>12</v>
      </c>
      <c r="E69" s="0" t="n">
        <v>37</v>
      </c>
      <c r="F69" s="26" t="n">
        <v>3161</v>
      </c>
      <c r="G69" s="7" t="n">
        <f aca="false">F69*Production!$B$3</f>
        <v>8692.75</v>
      </c>
    </row>
    <row r="70" customFormat="false" ht="15" hidden="false" customHeight="false" outlineLevel="0" collapsed="false">
      <c r="A70" s="0" t="s">
        <v>260</v>
      </c>
      <c r="B70" s="0" t="n">
        <v>600</v>
      </c>
      <c r="C70" s="0" t="n">
        <v>575</v>
      </c>
      <c r="D70" s="0" t="n">
        <v>68</v>
      </c>
      <c r="E70" s="0" t="n">
        <v>93</v>
      </c>
      <c r="F70" s="26" t="n">
        <v>4326</v>
      </c>
      <c r="G70" s="7" t="n">
        <f aca="false">F70*Production!$B$3</f>
        <v>11896.5</v>
      </c>
    </row>
    <row r="71" customFormat="false" ht="15" hidden="false" customHeight="false" outlineLevel="0" collapsed="false">
      <c r="A71" s="0" t="s">
        <v>261</v>
      </c>
      <c r="B71" s="0" t="n">
        <v>600</v>
      </c>
      <c r="C71" s="0" t="n">
        <v>575</v>
      </c>
      <c r="D71" s="0" t="n">
        <v>93</v>
      </c>
      <c r="E71" s="0" t="n">
        <v>118</v>
      </c>
      <c r="F71" s="26" t="n">
        <v>5171</v>
      </c>
      <c r="G71" s="7" t="n">
        <f aca="false">F71*Production!$B$3</f>
        <v>14220.25</v>
      </c>
    </row>
    <row r="72" customFormat="false" ht="15" hidden="false" customHeight="false" outlineLevel="0" collapsed="false">
      <c r="A72" s="0" t="s">
        <v>262</v>
      </c>
      <c r="B72" s="0" t="n">
        <v>600</v>
      </c>
      <c r="C72" s="0" t="n">
        <v>575</v>
      </c>
      <c r="D72" s="0" t="n">
        <v>124</v>
      </c>
      <c r="E72" s="0" t="n">
        <v>149</v>
      </c>
      <c r="F72" s="26" t="n">
        <v>6253</v>
      </c>
      <c r="G72" s="7" t="n">
        <f aca="false">F72*Production!$B$3</f>
        <v>17195.75</v>
      </c>
    </row>
    <row r="73" customFormat="false" ht="15" hidden="false" customHeight="false" outlineLevel="0" collapsed="false">
      <c r="A73" s="0" t="s">
        <v>263</v>
      </c>
      <c r="B73" s="0" t="n">
        <v>575</v>
      </c>
      <c r="C73" s="0" t="n">
        <v>550</v>
      </c>
      <c r="D73" s="0" t="n">
        <v>-13</v>
      </c>
      <c r="E73" s="0" t="n">
        <v>12</v>
      </c>
      <c r="F73" s="26" t="n">
        <v>3287</v>
      </c>
      <c r="G73" s="7" t="n">
        <f aca="false">F73*Production!$B$3</f>
        <v>9039.25</v>
      </c>
    </row>
    <row r="74" customFormat="false" ht="15" hidden="false" customHeight="false" outlineLevel="0" collapsed="false">
      <c r="A74" s="0" t="s">
        <v>264</v>
      </c>
      <c r="B74" s="0" t="n">
        <v>575</v>
      </c>
      <c r="C74" s="0" t="n">
        <v>550</v>
      </c>
      <c r="D74" s="0" t="n">
        <v>12</v>
      </c>
      <c r="E74" s="0" t="n">
        <v>37</v>
      </c>
      <c r="F74" s="26" t="n">
        <v>3236</v>
      </c>
      <c r="G74" s="7" t="n">
        <f aca="false">F74*Production!$B$3</f>
        <v>8899</v>
      </c>
    </row>
    <row r="75" customFormat="false" ht="15" hidden="false" customHeight="false" outlineLevel="0" collapsed="false">
      <c r="A75" s="0" t="s">
        <v>265</v>
      </c>
      <c r="B75" s="0" t="n">
        <v>575</v>
      </c>
      <c r="C75" s="0" t="n">
        <v>550</v>
      </c>
      <c r="D75" s="0" t="n">
        <v>43</v>
      </c>
      <c r="E75" s="0" t="n">
        <v>68</v>
      </c>
      <c r="F75" s="26" t="n">
        <v>4026</v>
      </c>
      <c r="G75" s="7" t="n">
        <f aca="false">F75*Production!$B$3</f>
        <v>11071.5</v>
      </c>
    </row>
    <row r="76" customFormat="false" ht="15" hidden="false" customHeight="false" outlineLevel="0" collapsed="false">
      <c r="A76" s="0" t="s">
        <v>266</v>
      </c>
      <c r="B76" s="0" t="n">
        <v>575</v>
      </c>
      <c r="C76" s="0" t="n">
        <v>550</v>
      </c>
      <c r="D76" s="0" t="n">
        <v>68</v>
      </c>
      <c r="E76" s="0" t="n">
        <v>93</v>
      </c>
      <c r="F76" s="26" t="n">
        <v>4848</v>
      </c>
      <c r="G76" s="7" t="n">
        <f aca="false">F76*Production!$B$3</f>
        <v>13332</v>
      </c>
    </row>
    <row r="77" customFormat="false" ht="15" hidden="false" customHeight="false" outlineLevel="0" collapsed="false">
      <c r="A77" s="0" t="s">
        <v>267</v>
      </c>
      <c r="B77" s="0" t="n">
        <v>575</v>
      </c>
      <c r="C77" s="0" t="n">
        <v>550</v>
      </c>
      <c r="D77" s="0" t="n">
        <v>93</v>
      </c>
      <c r="E77" s="0" t="n">
        <v>118</v>
      </c>
      <c r="F77" s="26" t="n">
        <v>5738</v>
      </c>
      <c r="G77" s="7" t="n">
        <f aca="false">F77*Production!$B$3</f>
        <v>15779.5</v>
      </c>
    </row>
    <row r="78" customFormat="false" ht="15" hidden="false" customHeight="false" outlineLevel="0" collapsed="false">
      <c r="A78" s="0" t="s">
        <v>268</v>
      </c>
      <c r="B78" s="0" t="n">
        <v>575</v>
      </c>
      <c r="C78" s="0" t="n">
        <v>550</v>
      </c>
      <c r="D78" s="0" t="n">
        <v>124</v>
      </c>
      <c r="E78" s="0" t="n">
        <v>149</v>
      </c>
      <c r="F78" s="26" t="n">
        <v>6708</v>
      </c>
      <c r="G78" s="7" t="n">
        <f aca="false">F78*Production!$B$3</f>
        <v>18447</v>
      </c>
    </row>
    <row r="79" customFormat="false" ht="15" hidden="false" customHeight="false" outlineLevel="0" collapsed="false">
      <c r="A79" s="0" t="s">
        <v>269</v>
      </c>
      <c r="B79" s="0" t="n">
        <v>575</v>
      </c>
      <c r="C79" s="0" t="n">
        <v>550</v>
      </c>
      <c r="D79" s="0" t="n">
        <v>149</v>
      </c>
      <c r="E79" s="0" t="n">
        <v>174</v>
      </c>
      <c r="F79" s="26" t="n">
        <v>7146</v>
      </c>
      <c r="G79" s="7" t="n">
        <f aca="false">F79*Production!$B$3</f>
        <v>19651.5</v>
      </c>
    </row>
    <row r="80" customFormat="false" ht="15" hidden="false" customHeight="false" outlineLevel="0" collapsed="false">
      <c r="A80" s="0" t="s">
        <v>270</v>
      </c>
      <c r="B80" s="0" t="n">
        <v>550</v>
      </c>
      <c r="C80" s="0" t="n">
        <v>525</v>
      </c>
      <c r="D80" s="0" t="n">
        <v>-13</v>
      </c>
      <c r="E80" s="0" t="n">
        <v>12</v>
      </c>
      <c r="F80" s="26" t="n">
        <v>3156</v>
      </c>
      <c r="G80" s="7" t="n">
        <f aca="false">F80*Production!$B$3</f>
        <v>8679</v>
      </c>
    </row>
    <row r="81" customFormat="false" ht="15" hidden="false" customHeight="false" outlineLevel="0" collapsed="false">
      <c r="A81" s="0" t="s">
        <v>271</v>
      </c>
      <c r="B81" s="0" t="n">
        <v>550</v>
      </c>
      <c r="C81" s="0" t="n">
        <v>525</v>
      </c>
      <c r="D81" s="0" t="n">
        <v>12</v>
      </c>
      <c r="E81" s="0" t="n">
        <v>37</v>
      </c>
      <c r="F81" s="26" t="n">
        <v>3571</v>
      </c>
      <c r="G81" s="7" t="n">
        <f aca="false">F81*Production!$B$3</f>
        <v>9820.25</v>
      </c>
    </row>
    <row r="82" customFormat="false" ht="15" hidden="false" customHeight="false" outlineLevel="0" collapsed="false">
      <c r="A82" s="0" t="s">
        <v>272</v>
      </c>
      <c r="B82" s="0" t="n">
        <v>550</v>
      </c>
      <c r="C82" s="0" t="n">
        <v>525</v>
      </c>
      <c r="D82" s="0" t="n">
        <v>43</v>
      </c>
      <c r="E82" s="0" t="n">
        <v>68</v>
      </c>
      <c r="F82" s="26" t="n">
        <v>4540</v>
      </c>
      <c r="G82" s="7" t="n">
        <f aca="false">F82*Production!$B$3</f>
        <v>12485</v>
      </c>
    </row>
    <row r="83" customFormat="false" ht="15" hidden="false" customHeight="false" outlineLevel="0" collapsed="false">
      <c r="A83" s="0" t="s">
        <v>273</v>
      </c>
      <c r="B83" s="0" t="n">
        <v>550</v>
      </c>
      <c r="C83" s="0" t="n">
        <v>525</v>
      </c>
      <c r="D83" s="0" t="n">
        <v>68</v>
      </c>
      <c r="E83" s="0" t="n">
        <v>93</v>
      </c>
      <c r="F83" s="26" t="n">
        <v>5410</v>
      </c>
      <c r="G83" s="7" t="n">
        <f aca="false">F83*Production!$B$3</f>
        <v>14877.5</v>
      </c>
    </row>
    <row r="84" customFormat="false" ht="15" hidden="false" customHeight="false" outlineLevel="0" collapsed="false">
      <c r="A84" s="0" t="s">
        <v>274</v>
      </c>
      <c r="B84" s="0" t="n">
        <v>550</v>
      </c>
      <c r="C84" s="0" t="n">
        <v>525</v>
      </c>
      <c r="D84" s="0" t="n">
        <v>93</v>
      </c>
      <c r="E84" s="0" t="n">
        <v>118</v>
      </c>
      <c r="F84" s="26" t="n">
        <v>6273</v>
      </c>
      <c r="G84" s="7" t="n">
        <f aca="false">F84*Production!$B$3</f>
        <v>17250.75</v>
      </c>
    </row>
    <row r="85" customFormat="false" ht="15" hidden="false" customHeight="false" outlineLevel="0" collapsed="false">
      <c r="A85" s="0" t="s">
        <v>275</v>
      </c>
      <c r="B85" s="0" t="n">
        <v>550</v>
      </c>
      <c r="C85" s="0" t="n">
        <v>525</v>
      </c>
      <c r="D85" s="0" t="n">
        <v>124</v>
      </c>
      <c r="E85" s="0" t="n">
        <v>149</v>
      </c>
      <c r="F85" s="26" t="n">
        <v>7032</v>
      </c>
      <c r="G85" s="7" t="n">
        <f aca="false">F85*Production!$B$3</f>
        <v>19338</v>
      </c>
    </row>
    <row r="86" customFormat="false" ht="15" hidden="false" customHeight="false" outlineLevel="0" collapsed="false">
      <c r="A86" s="0" t="s">
        <v>276</v>
      </c>
      <c r="B86" s="0" t="n">
        <v>550</v>
      </c>
      <c r="C86" s="0" t="n">
        <v>525</v>
      </c>
      <c r="D86" s="0" t="n">
        <v>149</v>
      </c>
      <c r="E86" s="0" t="n">
        <v>174</v>
      </c>
      <c r="F86" s="26" t="n">
        <v>7214</v>
      </c>
      <c r="G86" s="7" t="n">
        <f aca="false">F86*Production!$B$3</f>
        <v>19838.5</v>
      </c>
    </row>
    <row r="87" customFormat="false" ht="15" hidden="false" customHeight="false" outlineLevel="0" collapsed="false">
      <c r="A87" s="0" t="s">
        <v>277</v>
      </c>
      <c r="B87" s="0" t="n">
        <v>525</v>
      </c>
      <c r="C87" s="0" t="n">
        <v>500</v>
      </c>
      <c r="D87" s="0" t="n">
        <v>-13</v>
      </c>
      <c r="E87" s="0" t="n">
        <v>12</v>
      </c>
      <c r="F87" s="26" t="n">
        <v>3357</v>
      </c>
      <c r="G87" s="7" t="n">
        <f aca="false">F87*Production!$B$3</f>
        <v>9231.75</v>
      </c>
    </row>
    <row r="88" customFormat="false" ht="15" hidden="false" customHeight="false" outlineLevel="0" collapsed="false">
      <c r="A88" s="0" t="s">
        <v>278</v>
      </c>
      <c r="B88" s="0" t="n">
        <v>525</v>
      </c>
      <c r="C88" s="0" t="n">
        <v>500</v>
      </c>
      <c r="D88" s="0" t="n">
        <v>43</v>
      </c>
      <c r="E88" s="0" t="n">
        <v>68</v>
      </c>
      <c r="F88" s="26" t="n">
        <v>5081</v>
      </c>
      <c r="G88" s="7" t="n">
        <f aca="false">F88*Production!$B$3</f>
        <v>13972.75</v>
      </c>
    </row>
    <row r="89" customFormat="false" ht="15" hidden="false" customHeight="false" outlineLevel="0" collapsed="false">
      <c r="A89" s="0" t="s">
        <v>279</v>
      </c>
      <c r="B89" s="0" t="n">
        <v>525</v>
      </c>
      <c r="C89" s="0" t="n">
        <v>500</v>
      </c>
      <c r="D89" s="0" t="n">
        <v>68</v>
      </c>
      <c r="E89" s="0" t="n">
        <v>93</v>
      </c>
      <c r="F89" s="26" t="n">
        <v>5969</v>
      </c>
      <c r="G89" s="7" t="n">
        <f aca="false">F89*Production!$B$3</f>
        <v>16414.75</v>
      </c>
    </row>
    <row r="90" customFormat="false" ht="15" hidden="false" customHeight="false" outlineLevel="0" collapsed="false">
      <c r="A90" s="0" t="s">
        <v>280</v>
      </c>
      <c r="B90" s="0" t="n">
        <v>525</v>
      </c>
      <c r="C90" s="0" t="n">
        <v>500</v>
      </c>
      <c r="D90" s="0" t="n">
        <v>93</v>
      </c>
      <c r="E90" s="0" t="n">
        <v>118</v>
      </c>
      <c r="F90" s="26" t="n">
        <v>6724</v>
      </c>
      <c r="G90" s="7" t="n">
        <f aca="false">F90*Production!$B$3</f>
        <v>18491</v>
      </c>
    </row>
    <row r="91" customFormat="false" ht="15" hidden="false" customHeight="false" outlineLevel="0" collapsed="false">
      <c r="A91" s="0" t="s">
        <v>281</v>
      </c>
      <c r="B91" s="0" t="n">
        <v>525</v>
      </c>
      <c r="C91" s="0" t="n">
        <v>500</v>
      </c>
      <c r="D91" s="0" t="n">
        <v>124</v>
      </c>
      <c r="E91" s="0" t="n">
        <v>149</v>
      </c>
      <c r="F91" s="26" t="n">
        <v>7191</v>
      </c>
      <c r="G91" s="7" t="n">
        <f aca="false">F91*Production!$B$3</f>
        <v>19775.25</v>
      </c>
    </row>
    <row r="92" customFormat="false" ht="15" hidden="false" customHeight="false" outlineLevel="0" collapsed="false">
      <c r="A92" s="0" t="s">
        <v>282</v>
      </c>
      <c r="B92" s="0" t="n">
        <v>525</v>
      </c>
      <c r="C92" s="0" t="n">
        <v>500</v>
      </c>
      <c r="D92" s="0" t="n">
        <v>149</v>
      </c>
      <c r="E92" s="0" t="n">
        <v>174</v>
      </c>
      <c r="F92" s="26" t="n">
        <v>7218</v>
      </c>
      <c r="G92" s="7" t="n">
        <f aca="false">F92*Production!$B$3</f>
        <v>19849.5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40"/>
  </cols>
  <sheetData>
    <row r="1" customFormat="false" ht="16.15" hidden="false" customHeight="false" outlineLevel="0" collapsed="false">
      <c r="A1" s="1" t="s">
        <v>283</v>
      </c>
    </row>
    <row r="3" customFormat="false" ht="15" hidden="false" customHeight="false" outlineLevel="0" collapsed="false">
      <c r="A3" s="2" t="s">
        <v>101</v>
      </c>
      <c r="B3" s="10" t="n">
        <v>2.75</v>
      </c>
    </row>
    <row r="4" customFormat="false" ht="15" hidden="false" customHeight="false" outlineLevel="0" collapsed="false">
      <c r="A4" s="2" t="s">
        <v>284</v>
      </c>
      <c r="B4" s="6" t="n">
        <v>0.1</v>
      </c>
    </row>
    <row r="5" customFormat="false" ht="15" hidden="false" customHeight="false" outlineLevel="0" collapsed="false">
      <c r="A5" s="2" t="s">
        <v>285</v>
      </c>
      <c r="B5" s="6" t="n">
        <v>0.92</v>
      </c>
    </row>
    <row r="6" customFormat="false" ht="15" hidden="false" customHeight="false" outlineLevel="0" collapsed="false">
      <c r="A6" s="2" t="s">
        <v>286</v>
      </c>
      <c r="B6" s="30" t="n">
        <f aca="false">SUM(Stopes!G4:G92)</f>
        <v>1300895.75</v>
      </c>
    </row>
    <row r="7" customFormat="false" ht="15" hidden="false" customHeight="false" outlineLevel="0" collapsed="false">
      <c r="A7" s="3" t="s">
        <v>287</v>
      </c>
      <c r="B7" s="8" t="n">
        <f aca="false">B6*(1+B4)*B5</f>
        <v>1316506.499</v>
      </c>
    </row>
    <row r="8" customFormat="false" ht="15" hidden="false" customHeight="false" outlineLevel="0" collapsed="false">
      <c r="A8" s="2" t="s">
        <v>288</v>
      </c>
      <c r="B8" s="12" t="n">
        <v>600000</v>
      </c>
    </row>
    <row r="9" customFormat="false" ht="15" hidden="false" customHeight="false" outlineLevel="0" collapsed="false">
      <c r="A9" s="3" t="s">
        <v>289</v>
      </c>
      <c r="B9" s="11" t="n">
        <f aca="false">B7/B8</f>
        <v>2.19417749833333</v>
      </c>
    </row>
    <row r="10" customFormat="false" ht="15" hidden="false" customHeight="false" outlineLevel="0" collapsed="false">
      <c r="A10" s="2" t="s">
        <v>159</v>
      </c>
      <c r="B10" s="31" t="n">
        <f aca="false">Development!F11</f>
        <v>33.4365625</v>
      </c>
    </row>
    <row r="11" customFormat="false" ht="15" hidden="false" customHeight="false" outlineLevel="0" collapsed="false">
      <c r="A11" s="2" t="s">
        <v>290</v>
      </c>
      <c r="B11" s="30" t="n">
        <f aca="false">Ventilation!B34</f>
        <v>373.111865397842</v>
      </c>
    </row>
    <row r="12" customFormat="false" ht="15" hidden="false" customHeight="false" outlineLevel="0" collapsed="false">
      <c r="A12" s="2" t="s">
        <v>291</v>
      </c>
      <c r="B12" s="30" t="n">
        <f aca="false">Dewatering!B23</f>
        <v>193.309262047571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2026-10-15T13:18:57Z</dcterms:created>
  <dc:creator>openpyxl</dc:creator>
  <dc:description/>
  <dc:language>en-US</dc:language>
  <cp:lastModifiedBy/>
  <dcterms:modified xsi:type="dcterms:W3CDTF">2026-10-15T13:18:57Z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